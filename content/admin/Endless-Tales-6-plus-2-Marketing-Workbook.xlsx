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ae6aed2df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2c0aaa603e284507"/>
    <x:sheet xmlns:r="http://schemas.openxmlformats.org/officeDocument/2006/relationships" name="Actual Results" sheetId="2" r:id="Rc2640f866cc641b9"/>
    <x:sheet xmlns:r="http://schemas.openxmlformats.org/officeDocument/2006/relationships" name="Actual vs Budget" sheetId="3" r:id="Rd790e5c2cc074b94"/>
    <x:sheet xmlns:r="http://schemas.openxmlformats.org/officeDocument/2006/relationships" name="Variance Analysis" sheetId="4" r:id="Rbfd6449ea9ba4263"/>
    <x:sheet xmlns:r="http://schemas.openxmlformats.org/officeDocument/2006/relationships" name="Decision Rules" sheetId="5" r:id="R714b6f936e1240ea"/>
    <x:sheet xmlns:r="http://schemas.openxmlformats.org/officeDocument/2006/relationships" name="Cash" sheetId="6" r:id="R59e55e9b49db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$0"/>
    <x:numFmt numFmtId="201" formatCode="$#,##0.00;($#,##0.00);$0.00"/>
    <x:numFmt numFmtId="202" formatCode="#,##0;(#,##0);0"/>
    <x:numFmt numFmtId="203" formatCode="0.0%"/>
    <x:numFmt numFmtId="204" formatCode="mm/dd/yy"/>
    <x:numFmt numFmtId="205" formatCode="0.0%;(0.0%);0.0%"/>
  </x:numFmts>
  <x:fonts count="9">
    <x:font>
      <x:sz val="11"/>
      <x:name val="Carlito"/>
    </x:font>
    <x:font>
      <x:sz val="10"/>
      <x:color rgb="FF243534"/>
      <x:name val="Arial"/>
    </x:font>
    <x:font>
      <x:b/>
      <x:sz val="16"/>
      <x:color rgb="FF243534"/>
      <x:name val="Arial"/>
    </x:font>
    <x:font>
      <x:sz val="10"/>
      <x:color rgb="FF185ABD"/>
      <x:name val="Arial"/>
    </x:font>
    <x:font>
      <x:b/>
      <x:sz val="10"/>
      <x:color rgb="FF243534"/>
      <x:name val="Arial"/>
    </x:font>
    <x:font>
      <x:b/>
      <x:sz val="10"/>
      <x:color rgb="FF185ABD"/>
      <x:name val="Arial"/>
    </x:font>
    <x:font>
      <x:i/>
      <x:sz val="10"/>
      <x:color rgb="FF63736C"/>
      <x:name val="Arial"/>
    </x:font>
    <x:font>
      <x:b/>
      <x:sz val="10"/>
      <x:color rgb="FFFFFFFF"/>
      <x:name val="Arial"/>
    </x:font>
    <x:font>
      <x:sz val="10"/>
      <x:color rgb="FF2173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E3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12622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0f3e34d0a44d1" /><Relationship Type="http://schemas.openxmlformats.org/officeDocument/2006/relationships/theme" Target="/xl/theme/theme1.xml" Id="R6b9895cad67d4f82" /><Relationship Type="http://schemas.openxmlformats.org/officeDocument/2006/relationships/sharedStrings" Target="/xl/sharedStrings.xml" Id="R8efea54c7959453c" /><Relationship Type="http://schemas.openxmlformats.org/officeDocument/2006/relationships/worksheet" Target="/xl/worksheets/sheet1.xml" Id="R2c0aaa603e284507" /><Relationship Type="http://schemas.openxmlformats.org/officeDocument/2006/relationships/worksheet" Target="/xl/worksheets/sheet2.xml" Id="Rc2640f866cc641b9" /><Relationship Type="http://schemas.openxmlformats.org/officeDocument/2006/relationships/worksheet" Target="/xl/worksheets/sheet3.xml" Id="Rd790e5c2cc074b94" /><Relationship Type="http://schemas.openxmlformats.org/officeDocument/2006/relationships/worksheet" Target="/xl/worksheets/sheet4.xml" Id="Rbfd6449ea9ba4263" /><Relationship Type="http://schemas.openxmlformats.org/officeDocument/2006/relationships/worksheet" Target="/xl/worksheets/sheet5.xml" Id="R714b6f936e1240ea" /><Relationship Type="http://schemas.openxmlformats.org/officeDocument/2006/relationships/worksheet" Target="/xl/worksheets/sheet6.xml" Id="R59e55e9b49db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E3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Endless Tales 6+2-week marketing budget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November 6–December 31, 2026. Final CAC review January 1, 2027. Forecasts, not actuals.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2" t="str">
        <x:v>Ad budget</x:v>
      </x:c>
      <x:c r="B4" s="12" t="n">
        <x:f>SUM(D10:D17)</x:f>
        <x:v>4000</x:v>
      </x:c>
      <x:c r="C4" s="13" t="str">
        <x:v>Trial target</x:v>
      </x:c>
      <x:c r="D4" s="14" t="n">
        <x:v>270</x:v>
      </x:c>
      <x:c r="E4" s="13" t="str">
        <x:v>Paid target</x:v>
      </x:c>
      <x:c r="F4" s="14" t="n">
        <x:v>135</x:v>
      </x:c>
      <x:c r="G4" s="13" t="str">
        <x:v>CAC target</x:v>
      </x:c>
      <x:c r="H4" s="15" t="n">
        <x:f>B4/F4</x:f>
        <x:v>29.62962962962963</x:v>
      </x:c>
      <x:c r="I4" s="2"/>
      <x:c r="J4" s="2"/>
      <x:c r="K4" s="2"/>
      <x:c r="L4" s="2"/>
    </x:row>
    <x:row r="5" ht="30" customHeight="1">
      <x:c r="A5" s="2" t="str">
        <x:v>Ad views ~</x:v>
      </x:c>
      <x:c r="B5" s="16" t="n">
        <x:v>286000</x:v>
      </x:c>
      <x:c r="C5" s="13" t="str">
        <x:v>Cost / trial</x:v>
      </x:c>
      <x:c r="D5" s="15" t="n">
        <x:f>B4/D4</x:f>
        <x:v>14.814814814814815</x:v>
      </x:c>
      <x:c r="E5" s="13" t="str">
        <x:v>Trial-to-paid</x:v>
      </x:c>
      <x:c r="F5" s="17" t="n">
        <x:f>F4/D4</x:f>
        <x:v>0.5</x:v>
      </x:c>
      <x:c r="G5" s="13" t="str">
        <x:v>Final review</x:v>
      </x:c>
      <x:c r="H5" s="18" t="d">
        <x:v>2027-01-01T12:00:00.000Z</x:v>
      </x:c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19" t="str">
        <x:v>Blue numbers are plan inputs. Green numbers link to another tab. Black numbers are calculations.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3" t="str">
        <x:v>Week</x:v>
      </x:c>
      <x:c r="B9" s="23" t="str">
        <x:v>Starts</x:v>
      </x:c>
      <x:c r="C9" s="23" t="str">
        <x:v>Phase</x:v>
      </x:c>
      <x:c r="D9" s="23" t="str">
        <x:v>Ad spend</x:v>
      </x:c>
      <x:c r="E9" s="23" t="str">
        <x:v>Ad views</x:v>
      </x:c>
      <x:c r="F9" s="23" t="str">
        <x:v>Signups</x:v>
      </x:c>
      <x:c r="G9" s="23" t="str">
        <x:v>Trials</x:v>
      </x:c>
      <x:c r="H9" s="23" t="str">
        <x:v>New paid subs</x:v>
      </x:c>
      <x:c r="I9" s="23" t="str">
        <x:v>Cost / trial</x:v>
      </x:c>
      <x:c r="J9" s="23" t="str">
        <x:v>CAC to date</x:v>
      </x:c>
      <x:c r="K9" s="2"/>
      <x:c r="L9" s="2"/>
    </x:row>
    <x:row r="10" ht="24" customHeight="1">
      <x:c r="A10" s="2" t="n">
        <x:v>1</x:v>
      </x:c>
      <x:c r="B10" s="8" t="d">
        <x:v>2026-11-06T12:00:00.000Z</x:v>
      </x:c>
      <x:c r="C10" s="2" t="str">
        <x:v>Test 4 hooks</x:v>
      </x:c>
      <x:c r="D10" s="24" t="n">
        <x:v>500</x:v>
      </x:c>
      <x:c r="E10" s="11" t="n">
        <x:v>35714</x:v>
      </x:c>
      <x:c r="F10" s="11" t="n">
        <x:v>54</x:v>
      </x:c>
      <x:c r="G10" s="11" t="n">
        <x:v>34</x:v>
      </x:c>
      <x:c r="H10" s="11"/>
      <x:c r="I10" s="25" t="n">
        <x:v>14.81</x:v>
      </x:c>
      <x:c r="J10" s="25"/>
      <x:c r="K10" s="2"/>
      <x:c r="L10" s="2"/>
    </x:row>
    <x:row r="11" ht="24" customHeight="1">
      <x:c r="A11" s="2" t="n">
        <x:v>2</x:v>
      </x:c>
      <x:c r="B11" s="8" t="d">
        <x:v>2026-11-13T12:00:00.000Z</x:v>
      </x:c>
      <x:c r="C11" s="2" t="str">
        <x:v>Test 4 hooks</x:v>
      </x:c>
      <x:c r="D11" s="24" t="n">
        <x:v>500</x:v>
      </x:c>
      <x:c r="E11" s="11" t="n">
        <x:v>35714</x:v>
      </x:c>
      <x:c r="F11" s="11" t="n">
        <x:v>54</x:v>
      </x:c>
      <x:c r="G11" s="11" t="n">
        <x:v>34</x:v>
      </x:c>
      <x:c r="H11" s="11"/>
      <x:c r="I11" s="25" t="n">
        <x:v>14.81</x:v>
      </x:c>
      <x:c r="J11" s="25"/>
      <x:c r="K11" s="2"/>
      <x:c r="L11" s="2"/>
    </x:row>
    <x:row r="12" ht="24" customHeight="1">
      <x:c r="A12" s="2" t="n">
        <x:v>3</x:v>
      </x:c>
      <x:c r="B12" s="8" t="d">
        <x:v>2026-11-20T12:00:00.000Z</x:v>
      </x:c>
      <x:c r="C12" s="2" t="str">
        <x:v>Top 2 ads</x:v>
      </x:c>
      <x:c r="D12" s="24" t="n">
        <x:v>700</x:v>
      </x:c>
      <x:c r="E12" s="11" t="n">
        <x:v>50000</x:v>
      </x:c>
      <x:c r="F12" s="11" t="n">
        <x:v>75</x:v>
      </x:c>
      <x:c r="G12" s="11" t="n">
        <x:v>47</x:v>
      </x:c>
      <x:c r="H12" s="11" t="n">
        <x:v>17</x:v>
      </x:c>
      <x:c r="I12" s="25" t="n">
        <x:v>14.81</x:v>
      </x:c>
      <x:c r="J12" s="25" t="n">
        <x:v>100.74</x:v>
      </x:c>
      <x:c r="K12" s="2"/>
      <x:c r="L12" s="2"/>
    </x:row>
    <x:row r="13" ht="24" customHeight="1">
      <x:c r="A13" s="2" t="n">
        <x:v>4</x:v>
      </x:c>
      <x:c r="B13" s="8" t="d">
        <x:v>2026-11-27T12:00:00.000Z</x:v>
      </x:c>
      <x:c r="C13" s="2" t="str">
        <x:v>Top 2 ads</x:v>
      </x:c>
      <x:c r="D13" s="24" t="n">
        <x:v>700</x:v>
      </x:c>
      <x:c r="E13" s="11" t="n">
        <x:v>50000</x:v>
      </x:c>
      <x:c r="F13" s="11" t="n">
        <x:v>75</x:v>
      </x:c>
      <x:c r="G13" s="11" t="n">
        <x:v>47</x:v>
      </x:c>
      <x:c r="H13" s="11" t="n">
        <x:v>17</x:v>
      </x:c>
      <x:c r="I13" s="25" t="n">
        <x:v>14.81</x:v>
      </x:c>
      <x:c r="J13" s="25" t="n">
        <x:v>71.11</x:v>
      </x:c>
      <x:c r="K13" s="2"/>
      <x:c r="L13" s="2"/>
    </x:row>
    <x:row r="14" ht="24" customHeight="1">
      <x:c r="A14" s="2" t="n">
        <x:v>5</x:v>
      </x:c>
      <x:c r="B14" s="8" t="d">
        <x:v>2026-12-04T12:00:00.000Z</x:v>
      </x:c>
      <x:c r="C14" s="2" t="str">
        <x:v>Winner + reserve</x:v>
      </x:c>
      <x:c r="D14" s="24" t="n">
        <x:v>800</x:v>
      </x:c>
      <x:c r="E14" s="11" t="n">
        <x:v>57143</x:v>
      </x:c>
      <x:c r="F14" s="11" t="n">
        <x:v>86</x:v>
      </x:c>
      <x:c r="G14" s="11" t="n">
        <x:v>54</x:v>
      </x:c>
      <x:c r="H14" s="11" t="n">
        <x:v>24</x:v>
      </x:c>
      <x:c r="I14" s="25" t="n">
        <x:v>14.81</x:v>
      </x:c>
      <x:c r="J14" s="25" t="n">
        <x:v>55.77</x:v>
      </x:c>
      <x:c r="K14" s="2"/>
      <x:c r="L14" s="2"/>
    </x:row>
    <x:row r="15" ht="24" customHeight="1">
      <x:c r="A15" s="2" t="n">
        <x:v>6</x:v>
      </x:c>
      <x:c r="B15" s="8" t="d">
        <x:v>2026-12-11T12:00:00.000Z</x:v>
      </x:c>
      <x:c r="C15" s="2" t="str">
        <x:v>Winner + reserve</x:v>
      </x:c>
      <x:c r="D15" s="24" t="n">
        <x:v>800</x:v>
      </x:c>
      <x:c r="E15" s="11" t="n">
        <x:v>57143</x:v>
      </x:c>
      <x:c r="F15" s="11" t="n">
        <x:v>86</x:v>
      </x:c>
      <x:c r="G15" s="11" t="n">
        <x:v>54</x:v>
      </x:c>
      <x:c r="H15" s="11" t="n">
        <x:v>24</x:v>
      </x:c>
      <x:c r="I15" s="25" t="n">
        <x:v>14.81</x:v>
      </x:c>
      <x:c r="J15" s="25" t="n">
        <x:v>49.38</x:v>
      </x:c>
      <x:c r="K15" s="2"/>
      <x:c r="L15" s="2"/>
    </x:row>
    <x:row r="16" ht="24" customHeight="1">
      <x:c r="A16" s="2" t="n">
        <x:v>7</x:v>
      </x:c>
      <x:c r="B16" s="8" t="d">
        <x:v>2026-12-18T12:00:00.000Z</x:v>
      </x:c>
      <x:c r="C16" s="2" t="str">
        <x:v>Trials convert</x:v>
      </x:c>
      <x:c r="D16" s="24" t="n">
        <x:v>0</x:v>
      </x:c>
      <x:c r="E16" s="11"/>
      <x:c r="F16" s="11"/>
      <x:c r="G16" s="11"/>
      <x:c r="H16" s="11" t="n">
        <x:v>27</x:v>
      </x:c>
      <x:c r="I16" s="25"/>
      <x:c r="J16" s="25" t="n">
        <x:v>37.04</x:v>
      </x:c>
      <x:c r="K16" s="2"/>
      <x:c r="L16" s="2"/>
    </x:row>
    <x:row r="17" ht="24" customHeight="1">
      <x:c r="A17" s="2" t="n">
        <x:v>8</x:v>
      </x:c>
      <x:c r="B17" s="8" t="d">
        <x:v>2026-12-25T12:00:00.000Z</x:v>
      </x:c>
      <x:c r="C17" s="2" t="str">
        <x:v>Trials convert</x:v>
      </x:c>
      <x:c r="D17" s="24" t="n">
        <x:v>0</x:v>
      </x:c>
      <x:c r="E17" s="11"/>
      <x:c r="F17" s="11"/>
      <x:c r="G17" s="11"/>
      <x:c r="H17" s="11" t="n">
        <x:v>27</x:v>
      </x:c>
      <x:c r="I17" s="25"/>
      <x:c r="J17" s="25" t="n">
        <x:v>29.63</x:v>
      </x:c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6" t="str">
        <x:v>6-week ad budget</x:v>
      </x:c>
      <x:c r="B19" s="26"/>
      <x:c r="C19" s="26"/>
      <x:c r="D19" s="12" t="n">
        <x:f>SUM(D10:D15)</x:f>
        <x:v>4000</x:v>
      </x:c>
      <x:c r="E19" s="26"/>
      <x:c r="F19" s="26"/>
      <x:c r="G19" s="26" t="str">
        <x:v>8-week budget</x:v>
      </x:c>
      <x:c r="H19" s="26"/>
      <x:c r="I19" s="26"/>
      <x:c r="J19" s="12" t="n">
        <x:f>SUM(D10:D17)</x:f>
        <x:v>4000</x:v>
      </x:c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19" t="str">
        <x:v>Source rounding: weekly paid cells add to 136; the source headline is 135. Both are preserved.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19" t="str">
        <x:v>Weekly views add to 285,714; the headline is approximately 286,000. Blank source cells are em dashes.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19" t="str">
        <x:v>Do not sum weekly CAC. Native unrounded workbook cells, monthly/annual mix and revenue were not supplied.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19" t="str">
        <x:v>Source: Published Meta Test Plan, final October 29 version identified by the owner.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19" t="str">
        <x:v>https://claude.ai/artifact/GgPuEUCcaDWSeun2uivPeJ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19" t="str">
        <x:v>This grouped Admin workbook was built from the published artifact; it is not the original downloadable XLSX.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19" t="str">
        <x:v>The $400 conditional reserve is within the $4,000 plan, not extra spending. See Decision Rules.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5D5B4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  <x:col min="12" max="12" width="1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Actual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Enter numbers in amber cells, add a source reference, then select Verified = Yes.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19" t="str">
        <x:v>Blank means unknown. Enter a numeric 0 for a verified zero. No live services or Admin records are updated.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19" t="str">
        <x:v>CAC to date requires every preceding week of spend and paid counts, source references and verification.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3" t="str">
        <x:v>Week</x:v>
      </x:c>
      <x:c r="B9" s="23" t="str">
        <x:v>Starts</x:v>
      </x:c>
      <x:c r="C9" s="23" t="str">
        <x:v>Phase</x:v>
      </x:c>
      <x:c r="D9" s="23" t="str">
        <x:v>Ad spend</x:v>
      </x:c>
      <x:c r="E9" s="23" t="str">
        <x:v>Ad views</x:v>
      </x:c>
      <x:c r="F9" s="23" t="str">
        <x:v>Signups</x:v>
      </x:c>
      <x:c r="G9" s="23" t="str">
        <x:v>Trials</x:v>
      </x:c>
      <x:c r="H9" s="23" t="str">
        <x:v>New paid subs</x:v>
      </x:c>
      <x:c r="I9" s="23" t="str">
        <x:v>Cost / trial</x:v>
      </x:c>
      <x:c r="J9" s="23" t="str">
        <x:v>CAC to date</x:v>
      </x:c>
      <x:c r="K9" s="23" t="str">
        <x:v>Source / receipt</x:v>
      </x:c>
      <x:c r="L9" s="23" t="str">
        <x:v>Verified</x:v>
      </x:c>
    </x:row>
    <x:row r="10" ht="24" customHeight="1">
      <x:c r="A10" s="27" t="n">
        <x:f>'Budget'!A10</x:f>
        <x:v>1</x:v>
      </x:c>
      <x:c r="B10" s="30" t="n">
        <x:f>'Budget'!B10</x:f>
        <x:v>46332.5</x:v>
      </x:c>
      <x:c r="C10" s="27" t="str">
        <x:f>'Budget'!C10</x:f>
        <x:v>Test 4 hooks</x:v>
      </x:c>
      <x:c r="D10" s="31"/>
      <x:c r="E10" s="32"/>
      <x:c r="F10" s="32"/>
      <x:c r="G10" s="32"/>
      <x:c r="H10" s="32"/>
      <x:c r="I10" s="5" t="str">
        <x:f>IF(AND(L10="Yes",K10&lt;&gt;"",ISNUMBER(D10),ISNUMBER(G10),G10&gt;0),D10/G10,"")</x:f>
      </x:c>
      <x:c r="J10" s="5" t="str">
        <x:f>IF(AND(COUNT($D$10:D10)=1,COUNT($H$10:H10)=1,COUNTIFS($L$10:L10,"Yes")=1,COUNTBLANK($K$10:K10)=0,SUM($H$10:H10)&gt;0),SUM($D$10:D10)/SUM($H$10:H10),"")</x:f>
      </x:c>
      <x:c r="K10" s="29"/>
      <x:c r="L10" s="29"/>
    </x:row>
    <x:row r="11" ht="24" customHeight="1">
      <x:c r="A11" s="27" t="n">
        <x:f>'Budget'!A11</x:f>
        <x:v>2</x:v>
      </x:c>
      <x:c r="B11" s="30" t="n">
        <x:f>'Budget'!B11</x:f>
        <x:v>46339.5</x:v>
      </x:c>
      <x:c r="C11" s="27" t="str">
        <x:f>'Budget'!C11</x:f>
        <x:v>Test 4 hooks</x:v>
      </x:c>
      <x:c r="D11" s="31"/>
      <x:c r="E11" s="32"/>
      <x:c r="F11" s="32"/>
      <x:c r="G11" s="32"/>
      <x:c r="H11" s="32"/>
      <x:c r="I11" s="5" t="str">
        <x:f>IF(AND(L11="Yes",K11&lt;&gt;"",ISNUMBER(D11),ISNUMBER(G11),G11&gt;0),D11/G11,"")</x:f>
      </x:c>
      <x:c r="J11" s="5" t="str">
        <x:f>IF(AND(COUNT($D$10:D11)=2,COUNT($H$10:H11)=2,COUNTIFS($L$10:L11,"Yes")=2,COUNTBLANK($K$10:K11)=0,SUM($H$10:H11)&gt;0),SUM($D$10:D11)/SUM($H$10:H11),"")</x:f>
      </x:c>
      <x:c r="K11" s="29"/>
      <x:c r="L11" s="29"/>
    </x:row>
    <x:row r="12" ht="24" customHeight="1">
      <x:c r="A12" s="27" t="n">
        <x:f>'Budget'!A12</x:f>
        <x:v>3</x:v>
      </x:c>
      <x:c r="B12" s="30" t="n">
        <x:f>'Budget'!B12</x:f>
        <x:v>46346.5</x:v>
      </x:c>
      <x:c r="C12" s="27" t="str">
        <x:f>'Budget'!C12</x:f>
        <x:v>Top 2 ads</x:v>
      </x:c>
      <x:c r="D12" s="31"/>
      <x:c r="E12" s="32"/>
      <x:c r="F12" s="32"/>
      <x:c r="G12" s="32"/>
      <x:c r="H12" s="32"/>
      <x:c r="I12" s="5" t="str">
        <x:f>IF(AND(L12="Yes",K12&lt;&gt;"",ISNUMBER(D12),ISNUMBER(G12),G12&gt;0),D12/G12,"")</x:f>
      </x:c>
      <x:c r="J12" s="5" t="str">
        <x:f>IF(AND(COUNT($D$10:D12)=3,COUNT($H$10:H12)=3,COUNTIFS($L$10:L12,"Yes")=3,COUNTBLANK($K$10:K12)=0,SUM($H$10:H12)&gt;0),SUM($D$10:D12)/SUM($H$10:H12),"")</x:f>
      </x:c>
      <x:c r="K12" s="29"/>
      <x:c r="L12" s="29"/>
    </x:row>
    <x:row r="13" ht="24" customHeight="1">
      <x:c r="A13" s="27" t="n">
        <x:f>'Budget'!A13</x:f>
        <x:v>4</x:v>
      </x:c>
      <x:c r="B13" s="30" t="n">
        <x:f>'Budget'!B13</x:f>
        <x:v>46353.5</x:v>
      </x:c>
      <x:c r="C13" s="27" t="str">
        <x:f>'Budget'!C13</x:f>
        <x:v>Top 2 ads</x:v>
      </x:c>
      <x:c r="D13" s="31"/>
      <x:c r="E13" s="32"/>
      <x:c r="F13" s="32"/>
      <x:c r="G13" s="32"/>
      <x:c r="H13" s="32"/>
      <x:c r="I13" s="5" t="str">
        <x:f>IF(AND(L13="Yes",K13&lt;&gt;"",ISNUMBER(D13),ISNUMBER(G13),G13&gt;0),D13/G13,"")</x:f>
      </x:c>
      <x:c r="J13" s="5" t="str">
        <x:f>IF(AND(COUNT($D$10:D13)=4,COUNT($H$10:H13)=4,COUNTIFS($L$10:L13,"Yes")=4,COUNTBLANK($K$10:K13)=0,SUM($H$10:H13)&gt;0),SUM($D$10:D13)/SUM($H$10:H13),"")</x:f>
      </x:c>
      <x:c r="K13" s="29"/>
      <x:c r="L13" s="29"/>
    </x:row>
    <x:row r="14" ht="24" customHeight="1">
      <x:c r="A14" s="27" t="n">
        <x:f>'Budget'!A14</x:f>
        <x:v>5</x:v>
      </x:c>
      <x:c r="B14" s="30" t="n">
        <x:f>'Budget'!B14</x:f>
        <x:v>46360.5</x:v>
      </x:c>
      <x:c r="C14" s="27" t="str">
        <x:f>'Budget'!C14</x:f>
        <x:v>Winner + reserve</x:v>
      </x:c>
      <x:c r="D14" s="31"/>
      <x:c r="E14" s="32"/>
      <x:c r="F14" s="32"/>
      <x:c r="G14" s="32"/>
      <x:c r="H14" s="32"/>
      <x:c r="I14" s="5" t="str">
        <x:f>IF(AND(L14="Yes",K14&lt;&gt;"",ISNUMBER(D14),ISNUMBER(G14),G14&gt;0),D14/G14,"")</x:f>
      </x:c>
      <x:c r="J14" s="5" t="str">
        <x:f>IF(AND(COUNT($D$10:D14)=5,COUNT($H$10:H14)=5,COUNTIFS($L$10:L14,"Yes")=5,COUNTBLANK($K$10:K14)=0,SUM($H$10:H14)&gt;0),SUM($D$10:D14)/SUM($H$10:H14),"")</x:f>
      </x:c>
      <x:c r="K14" s="29"/>
      <x:c r="L14" s="29"/>
    </x:row>
    <x:row r="15" ht="24" customHeight="1">
      <x:c r="A15" s="27" t="n">
        <x:f>'Budget'!A15</x:f>
        <x:v>6</x:v>
      </x:c>
      <x:c r="B15" s="30" t="n">
        <x:f>'Budget'!B15</x:f>
        <x:v>46367.5</x:v>
      </x:c>
      <x:c r="C15" s="27" t="str">
        <x:f>'Budget'!C15</x:f>
        <x:v>Winner + reserve</x:v>
      </x:c>
      <x:c r="D15" s="31"/>
      <x:c r="E15" s="32"/>
      <x:c r="F15" s="32"/>
      <x:c r="G15" s="32"/>
      <x:c r="H15" s="32"/>
      <x:c r="I15" s="5" t="str">
        <x:f>IF(AND(L15="Yes",K15&lt;&gt;"",ISNUMBER(D15),ISNUMBER(G15),G15&gt;0),D15/G15,"")</x:f>
      </x:c>
      <x:c r="J15" s="5" t="str">
        <x:f>IF(AND(COUNT($D$10:D15)=6,COUNT($H$10:H15)=6,COUNTIFS($L$10:L15,"Yes")=6,COUNTBLANK($K$10:K15)=0,SUM($H$10:H15)&gt;0),SUM($D$10:D15)/SUM($H$10:H15),"")</x:f>
      </x:c>
      <x:c r="K15" s="29"/>
      <x:c r="L15" s="29"/>
    </x:row>
    <x:row r="16" ht="24" customHeight="1">
      <x:c r="A16" s="27" t="n">
        <x:f>'Budget'!A16</x:f>
        <x:v>7</x:v>
      </x:c>
      <x:c r="B16" s="30" t="n">
        <x:f>'Budget'!B16</x:f>
        <x:v>46374.5</x:v>
      </x:c>
      <x:c r="C16" s="27" t="str">
        <x:f>'Budget'!C16</x:f>
        <x:v>Trials convert</x:v>
      </x:c>
      <x:c r="D16" s="31"/>
      <x:c r="E16" s="32"/>
      <x:c r="F16" s="32"/>
      <x:c r="G16" s="32"/>
      <x:c r="H16" s="32"/>
      <x:c r="I16" s="5" t="str">
        <x:f>IF(AND(L16="Yes",K16&lt;&gt;"",ISNUMBER(D16),ISNUMBER(G16),G16&gt;0),D16/G16,"")</x:f>
      </x:c>
      <x:c r="J16" s="5" t="str">
        <x:f>IF(AND(COUNT($D$10:D16)=7,COUNT($H$10:H16)=7,COUNTIFS($L$10:L16,"Yes")=7,COUNTBLANK($K$10:K16)=0,SUM($H$10:H16)&gt;0),SUM($D$10:D16)/SUM($H$10:H16),"")</x:f>
      </x:c>
      <x:c r="K16" s="29"/>
      <x:c r="L16" s="29"/>
    </x:row>
    <x:row r="17" ht="24" customHeight="1">
      <x:c r="A17" s="27" t="n">
        <x:f>'Budget'!A17</x:f>
        <x:v>8</x:v>
      </x:c>
      <x:c r="B17" s="30" t="n">
        <x:f>'Budget'!B17</x:f>
        <x:v>46381.5</x:v>
      </x:c>
      <x:c r="C17" s="27" t="str">
        <x:f>'Budget'!C17</x:f>
        <x:v>Trials convert</x:v>
      </x:c>
      <x:c r="D17" s="31"/>
      <x:c r="E17" s="32"/>
      <x:c r="F17" s="32"/>
      <x:c r="G17" s="32"/>
      <x:c r="H17" s="32"/>
      <x:c r="I17" s="5" t="str">
        <x:f>IF(AND(L17="Yes",K17&lt;&gt;"",ISNUMBER(D17),ISNUMBER(G17),G17&gt;0),D17/G17,"")</x:f>
      </x:c>
      <x:c r="J17" s="5" t="str">
        <x:f>IF(AND(COUNT($D$10:D17)=8,COUNT($H$10:H17)=8,COUNTIFS($L$10:L17,"Yes")=8,COUNTBLANK($K$10:K17)=0,SUM($H$10:H17)&gt;0),SUM($D$10:D17)/SUM($H$10:H17),"")</x:f>
      </x:c>
      <x:c r="K17" s="29"/>
      <x:c r="L17" s="29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9" t="str">
        <x:v>Downloads start with blank actuals. Save your edited copy in Excel; it does not synchronize back to Admin.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dataValidations count="2">
    <x:dataValidation type="whole" operator="between" sqref="E10:H17">
      <x:formula1>0</x:formula1>
      <x:formula2>1000000000</x:formula2>
    </x:dataValidation>
    <x:dataValidation type="list" sqref="L10:L17">
      <x:formula1>"No,Yes"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E3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7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Actual vs. budget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Matching weekly periods. Difference = Actual − Budget. Verified actuals are required.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19" t="str">
        <x:v>Published rounded budget cells are preserved. A missing target is not treated as zero.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3" t="str">
        <x:v>Week</x:v>
      </x:c>
      <x:c r="B9" s="23" t="str">
        <x:v>Starts</x:v>
      </x:c>
      <x:c r="C9" s="23" t="str">
        <x:v>Metric</x:v>
      </x:c>
      <x:c r="D9" s="23" t="str">
        <x:v>Unit</x:v>
      </x:c>
      <x:c r="E9" s="23" t="str">
        <x:v>Budget</x:v>
      </x:c>
      <x:c r="F9" s="23" t="str">
        <x:v>Actual</x:v>
      </x:c>
      <x:c r="G9" s="23" t="str">
        <x:v>Difference</x:v>
      </x:c>
      <x:c r="H9" s="23" t="str">
        <x:v>Variance %</x:v>
      </x:c>
      <x:c r="I9" s="23" t="str">
        <x:v>Comparison status</x:v>
      </x:c>
      <x:c r="J9" s="2"/>
      <x:c r="K9" s="2"/>
      <x:c r="L9" s="2"/>
    </x:row>
    <x:row r="10" ht="24" customHeight="1">
      <x:c r="A10" s="2" t="n">
        <x:f>'Budget'!A10</x:f>
        <x:v>1</x:v>
      </x:c>
      <x:c r="B10" s="8" t="n">
        <x:f>'Budget'!B10</x:f>
        <x:v>46332.5</x:v>
      </x:c>
      <x:c r="C10" s="2" t="str">
        <x:v>Ad spend</x:v>
      </x:c>
      <x:c r="D10" s="2" t="str">
        <x:v>USD</x:v>
      </x:c>
      <x:c r="E10" s="4" t="n">
        <x:f>IF(ISNUMBER('Budget'!D10),'Budget'!D10,"")</x:f>
        <x:v>500</x:v>
      </x:c>
      <x:c r="F10" s="4" t="str">
        <x:f>IF(AND('Actual Results'!$L10="Yes",'Actual Results'!$K10&lt;&gt;"",ISNUMBER('Actual Results'!D10)),'Actual Results'!D10,"")</x:f>
      </x:c>
      <x:c r="G10" s="4" t="str">
        <x:f>IF(AND(ISNUMBER(E10),ISNUMBER(F10)),F10-E10,"")</x:f>
      </x:c>
      <x:c r="H10" s="36" t="str">
        <x:f>IF(AND(ISNUMBER(G10),ISNUMBER(E10),E10&lt;&gt;0),G10/ABS(E10),"")</x:f>
      </x:c>
      <x:c r="I10" s="2" t="str">
        <x:f>IF(NOT(ISNUMBER(F10)),"Awaiting verified actuals",IF(NOT(ISNUMBER(E10)),"No source budget target","Matched"))</x:f>
        <x:v>Awaiting verified actuals</x:v>
      </x:c>
      <x:c r="J10" s="2"/>
      <x:c r="K10" s="2"/>
      <x:c r="L10" s="2"/>
    </x:row>
    <x:row r="11" ht="24" customHeight="1">
      <x:c r="A11" s="2" t="n">
        <x:f>'Budget'!A10</x:f>
        <x:v>1</x:v>
      </x:c>
      <x:c r="B11" s="8" t="n">
        <x:f>'Budget'!B10</x:f>
        <x:v>46332.5</x:v>
      </x:c>
      <x:c r="C11" s="2" t="str">
        <x:v>Ad views</x:v>
      </x:c>
      <x:c r="D11" s="2" t="str">
        <x:v>Count</x:v>
      </x:c>
      <x:c r="E11" s="6" t="n">
        <x:f>IF(ISNUMBER('Budget'!E10),'Budget'!E10,"")</x:f>
        <x:v>35714</x:v>
      </x:c>
      <x:c r="F11" s="6" t="str">
        <x:f>IF(AND('Actual Results'!$L10="Yes",'Actual Results'!$K10&lt;&gt;"",ISNUMBER('Actual Results'!E10)),'Actual Results'!E10,"")</x:f>
      </x:c>
      <x:c r="G11" s="6" t="str">
        <x:f>IF(AND(ISNUMBER(E11),ISNUMBER(F11)),F11-E11,"")</x:f>
      </x:c>
      <x:c r="H11" s="36" t="str">
        <x:f>IF(AND(ISNUMBER(G11),ISNUMBER(E11),E11&lt;&gt;0),G11/ABS(E11),"")</x:f>
      </x:c>
      <x:c r="I11" s="2" t="str">
        <x:f>IF(NOT(ISNUMBER(F11)),"Awaiting verified actuals",IF(NOT(ISNUMBER(E11)),"No source budget target","Matched"))</x:f>
        <x:v>Awaiting verified actuals</x:v>
      </x:c>
      <x:c r="J11" s="2"/>
      <x:c r="K11" s="2"/>
      <x:c r="L11" s="2"/>
    </x:row>
    <x:row r="12" ht="24" customHeight="1">
      <x:c r="A12" s="2" t="n">
        <x:f>'Budget'!A10</x:f>
        <x:v>1</x:v>
      </x:c>
      <x:c r="B12" s="8" t="n">
        <x:f>'Budget'!B10</x:f>
        <x:v>46332.5</x:v>
      </x:c>
      <x:c r="C12" s="2" t="str">
        <x:v>Signups</x:v>
      </x:c>
      <x:c r="D12" s="2" t="str">
        <x:v>Count</x:v>
      </x:c>
      <x:c r="E12" s="6" t="n">
        <x:f>IF(ISNUMBER('Budget'!F10),'Budget'!F10,"")</x:f>
        <x:v>54</x:v>
      </x:c>
      <x:c r="F12" s="6" t="str">
        <x:f>IF(AND('Actual Results'!$L10="Yes",'Actual Results'!$K10&lt;&gt;"",ISNUMBER('Actual Results'!F10)),'Actual Results'!F10,"")</x:f>
      </x:c>
      <x:c r="G12" s="6" t="str">
        <x:f>IF(AND(ISNUMBER(E12),ISNUMBER(F12)),F12-E12,"")</x:f>
      </x:c>
      <x:c r="H12" s="36" t="str">
        <x:f>IF(AND(ISNUMBER(G12),ISNUMBER(E12),E12&lt;&gt;0),G12/ABS(E12),"")</x:f>
      </x:c>
      <x:c r="I12" s="2" t="str">
        <x:f>IF(NOT(ISNUMBER(F12)),"Awaiting verified actuals",IF(NOT(ISNUMBER(E12)),"No source budget target","Matched"))</x:f>
        <x:v>Awaiting verified actuals</x:v>
      </x:c>
      <x:c r="J12" s="2"/>
      <x:c r="K12" s="2"/>
      <x:c r="L12" s="2"/>
    </x:row>
    <x:row r="13" ht="24" customHeight="1">
      <x:c r="A13" s="2" t="n">
        <x:f>'Budget'!A10</x:f>
        <x:v>1</x:v>
      </x:c>
      <x:c r="B13" s="8" t="n">
        <x:f>'Budget'!B10</x:f>
        <x:v>46332.5</x:v>
      </x:c>
      <x:c r="C13" s="2" t="str">
        <x:v>Trials</x:v>
      </x:c>
      <x:c r="D13" s="2" t="str">
        <x:v>Count</x:v>
      </x:c>
      <x:c r="E13" s="6" t="n">
        <x:f>IF(ISNUMBER('Budget'!G10),'Budget'!G10,"")</x:f>
        <x:v>34</x:v>
      </x:c>
      <x:c r="F13" s="6" t="str">
        <x:f>IF(AND('Actual Results'!$L10="Yes",'Actual Results'!$K10&lt;&gt;"",ISNUMBER('Actual Results'!G10)),'Actual Results'!G10,"")</x:f>
      </x:c>
      <x:c r="G13" s="6" t="str">
        <x:f>IF(AND(ISNUMBER(E13),ISNUMBER(F13)),F13-E13,"")</x:f>
      </x:c>
      <x:c r="H13" s="36" t="str">
        <x:f>IF(AND(ISNUMBER(G13),ISNUMBER(E13),E13&lt;&gt;0),G13/ABS(E13),"")</x:f>
      </x:c>
      <x:c r="I13" s="2" t="str">
        <x:f>IF(NOT(ISNUMBER(F13)),"Awaiting verified actuals",IF(NOT(ISNUMBER(E13)),"No source budget target","Matched"))</x:f>
        <x:v>Awaiting verified actuals</x:v>
      </x:c>
      <x:c r="J13" s="2"/>
      <x:c r="K13" s="2"/>
      <x:c r="L13" s="2"/>
    </x:row>
    <x:row r="14" ht="24" customHeight="1">
      <x:c r="A14" s="2" t="n">
        <x:f>'Budget'!A10</x:f>
        <x:v>1</x:v>
      </x:c>
      <x:c r="B14" s="8" t="n">
        <x:f>'Budget'!B10</x:f>
        <x:v>46332.5</x:v>
      </x:c>
      <x:c r="C14" s="2" t="str">
        <x:v>New paid subs</x:v>
      </x:c>
      <x:c r="D14" s="2" t="str">
        <x:v>Count</x:v>
      </x:c>
      <x:c r="E14" s="6" t="str">
        <x:f>IF(ISNUMBER('Budget'!H10),'Budget'!H10,"")</x:f>
      </x:c>
      <x:c r="F14" s="6" t="str">
        <x:f>IF(AND('Actual Results'!$L10="Yes",'Actual Results'!$K10&lt;&gt;"",ISNUMBER('Actual Results'!H10)),'Actual Results'!H10,"")</x:f>
      </x:c>
      <x:c r="G14" s="6" t="str">
        <x:f>IF(AND(ISNUMBER(E14),ISNUMBER(F14)),F14-E14,"")</x:f>
      </x:c>
      <x:c r="H14" s="36" t="str">
        <x:f>IF(AND(ISNUMBER(G14),ISNUMBER(E14),E14&lt;&gt;0),G14/ABS(E14),"")</x:f>
      </x:c>
      <x:c r="I14" s="2" t="str">
        <x:f>IF(NOT(ISNUMBER(F14)),"Awaiting verified actuals",IF(NOT(ISNUMBER(E14)),"No source budget target","Matched"))</x:f>
        <x:v>Awaiting verified actuals</x:v>
      </x:c>
      <x:c r="J14" s="2"/>
      <x:c r="K14" s="2"/>
      <x:c r="L14" s="2"/>
    </x:row>
    <x:row r="15" ht="24" customHeight="1">
      <x:c r="A15" s="2" t="n">
        <x:f>'Budget'!A10</x:f>
        <x:v>1</x:v>
      </x:c>
      <x:c r="B15" s="8" t="n">
        <x:f>'Budget'!B10</x:f>
        <x:v>46332.5</x:v>
      </x:c>
      <x:c r="C15" s="2" t="str">
        <x:v>Cost / trial</x:v>
      </x:c>
      <x:c r="D15" s="2" t="str">
        <x:v>USD / trial</x:v>
      </x:c>
      <x:c r="E15" s="5" t="n">
        <x:f>IF(ISNUMBER('Budget'!I10),'Budget'!I10,"")</x:f>
        <x:v>14.81</x:v>
      </x:c>
      <x:c r="F15" s="5" t="str">
        <x:f>IF(AND('Actual Results'!$L10="Yes",'Actual Results'!$K10&lt;&gt;"",ISNUMBER('Actual Results'!I10)),'Actual Results'!I10,"")</x:f>
      </x:c>
      <x:c r="G15" s="5" t="str">
        <x:f>IF(AND(ISNUMBER(E15),ISNUMBER(F15)),F15-E15,"")</x:f>
      </x:c>
      <x:c r="H15" s="36" t="str">
        <x:f>IF(AND(ISNUMBER(G15),ISNUMBER(E15),E15&lt;&gt;0),G15/ABS(E15),"")</x:f>
      </x:c>
      <x:c r="I15" s="2" t="str">
        <x:f>IF(NOT(ISNUMBER(F15)),"Awaiting verified actuals",IF(NOT(ISNUMBER(E15)),"No source budget target","Matched"))</x:f>
        <x:v>Awaiting verified actuals</x:v>
      </x:c>
      <x:c r="J15" s="2"/>
      <x:c r="K15" s="2"/>
      <x:c r="L15" s="2"/>
    </x:row>
    <x:row r="16" ht="24" customHeight="1">
      <x:c r="A16" s="2" t="n">
        <x:f>'Budget'!A10</x:f>
        <x:v>1</x:v>
      </x:c>
      <x:c r="B16" s="8" t="n">
        <x:f>'Budget'!B10</x:f>
        <x:v>46332.5</x:v>
      </x:c>
      <x:c r="C16" s="2" t="str">
        <x:v>CAC to date</x:v>
      </x:c>
      <x:c r="D16" s="2" t="str">
        <x:v>USD / paid</x:v>
      </x:c>
      <x:c r="E16" s="5" t="str">
        <x:f>IF(ISNUMBER('Budget'!J10),'Budget'!J10,"")</x:f>
      </x:c>
      <x:c r="F16" s="5" t="str">
        <x:f>IF(AND('Actual Results'!$L10="Yes",'Actual Results'!$K10&lt;&gt;"",ISNUMBER('Actual Results'!J10)),'Actual Results'!J10,"")</x:f>
      </x:c>
      <x:c r="G16" s="5" t="str">
        <x:f>IF(AND(ISNUMBER(E16),ISNUMBER(F16)),F16-E16,"")</x:f>
      </x:c>
      <x:c r="H16" s="36" t="str">
        <x:f>IF(AND(ISNUMBER(G16),ISNUMBER(E16),E16&lt;&gt;0),G16/ABS(E16),"")</x:f>
      </x:c>
      <x:c r="I16" s="2" t="str">
        <x:f>IF(NOT(ISNUMBER(F16)),"Awaiting verified actuals",IF(NOT(ISNUMBER(E16)),"No source budget target","Matched"))</x:f>
        <x:v>Awaiting verified actuals</x:v>
      </x:c>
      <x:c r="J16" s="2"/>
      <x:c r="K16" s="2"/>
      <x:c r="L16" s="2"/>
    </x:row>
    <x:row r="17" ht="24" customHeight="1">
      <x:c r="A17" s="2" t="n">
        <x:f>'Budget'!A11</x:f>
        <x:v>2</x:v>
      </x:c>
      <x:c r="B17" s="8" t="n">
        <x:f>'Budget'!B11</x:f>
        <x:v>46339.5</x:v>
      </x:c>
      <x:c r="C17" s="2" t="str">
        <x:v>Ad spend</x:v>
      </x:c>
      <x:c r="D17" s="2" t="str">
        <x:v>USD</x:v>
      </x:c>
      <x:c r="E17" s="4" t="n">
        <x:f>IF(ISNUMBER('Budget'!D11),'Budget'!D11,"")</x:f>
        <x:v>500</x:v>
      </x:c>
      <x:c r="F17" s="4" t="str">
        <x:f>IF(AND('Actual Results'!$L11="Yes",'Actual Results'!$K11&lt;&gt;"",ISNUMBER('Actual Results'!D11)),'Actual Results'!D11,"")</x:f>
      </x:c>
      <x:c r="G17" s="4" t="str">
        <x:f>IF(AND(ISNUMBER(E17),ISNUMBER(F17)),F17-E17,"")</x:f>
      </x:c>
      <x:c r="H17" s="36" t="str">
        <x:f>IF(AND(ISNUMBER(G17),ISNUMBER(E17),E17&lt;&gt;0),G17/ABS(E17),"")</x:f>
      </x:c>
      <x:c r="I17" s="2" t="str">
        <x:f>IF(NOT(ISNUMBER(F17)),"Awaiting verified actuals",IF(NOT(ISNUMBER(E17)),"No source budget target","Matched"))</x:f>
        <x:v>Awaiting verified actuals</x:v>
      </x:c>
      <x:c r="J17" s="2"/>
      <x:c r="K17" s="2"/>
      <x:c r="L17" s="2"/>
    </x:row>
    <x:row r="18" ht="24" customHeight="1">
      <x:c r="A18" s="2" t="n">
        <x:f>'Budget'!A11</x:f>
        <x:v>2</x:v>
      </x:c>
      <x:c r="B18" s="8" t="n">
        <x:f>'Budget'!B11</x:f>
        <x:v>46339.5</x:v>
      </x:c>
      <x:c r="C18" s="2" t="str">
        <x:v>Ad views</x:v>
      </x:c>
      <x:c r="D18" s="2" t="str">
        <x:v>Count</x:v>
      </x:c>
      <x:c r="E18" s="6" t="n">
        <x:f>IF(ISNUMBER('Budget'!E11),'Budget'!E11,"")</x:f>
        <x:v>35714</x:v>
      </x:c>
      <x:c r="F18" s="6" t="str">
        <x:f>IF(AND('Actual Results'!$L11="Yes",'Actual Results'!$K11&lt;&gt;"",ISNUMBER('Actual Results'!E11)),'Actual Results'!E11,"")</x:f>
      </x:c>
      <x:c r="G18" s="6" t="str">
        <x:f>IF(AND(ISNUMBER(E18),ISNUMBER(F18)),F18-E18,"")</x:f>
      </x:c>
      <x:c r="H18" s="36" t="str">
        <x:f>IF(AND(ISNUMBER(G18),ISNUMBER(E18),E18&lt;&gt;0),G18/ABS(E18),"")</x:f>
      </x:c>
      <x:c r="I18" s="2" t="str">
        <x:f>IF(NOT(ISNUMBER(F18)),"Awaiting verified actuals",IF(NOT(ISNUMBER(E18)),"No source budget target","Matched"))</x:f>
        <x:v>Awaiting verified actuals</x:v>
      </x:c>
      <x:c r="J18" s="2"/>
      <x:c r="K18" s="2"/>
      <x:c r="L18" s="2"/>
    </x:row>
    <x:row r="19" ht="24" customHeight="1">
      <x:c r="A19" s="2" t="n">
        <x:f>'Budget'!A11</x:f>
        <x:v>2</x:v>
      </x:c>
      <x:c r="B19" s="8" t="n">
        <x:f>'Budget'!B11</x:f>
        <x:v>46339.5</x:v>
      </x:c>
      <x:c r="C19" s="2" t="str">
        <x:v>Signups</x:v>
      </x:c>
      <x:c r="D19" s="2" t="str">
        <x:v>Count</x:v>
      </x:c>
      <x:c r="E19" s="6" t="n">
        <x:f>IF(ISNUMBER('Budget'!F11),'Budget'!F11,"")</x:f>
        <x:v>54</x:v>
      </x:c>
      <x:c r="F19" s="6" t="str">
        <x:f>IF(AND('Actual Results'!$L11="Yes",'Actual Results'!$K11&lt;&gt;"",ISNUMBER('Actual Results'!F11)),'Actual Results'!F11,"")</x:f>
      </x:c>
      <x:c r="G19" s="6" t="str">
        <x:f>IF(AND(ISNUMBER(E19),ISNUMBER(F19)),F19-E19,"")</x:f>
      </x:c>
      <x:c r="H19" s="36" t="str">
        <x:f>IF(AND(ISNUMBER(G19),ISNUMBER(E19),E19&lt;&gt;0),G19/ABS(E19),"")</x:f>
      </x:c>
      <x:c r="I19" s="2" t="str">
        <x:f>IF(NOT(ISNUMBER(F19)),"Awaiting verified actuals",IF(NOT(ISNUMBER(E19)),"No source budget target","Matched"))</x:f>
        <x:v>Awaiting verified actuals</x:v>
      </x:c>
      <x:c r="J19" s="2"/>
      <x:c r="K19" s="2"/>
      <x:c r="L19" s="2"/>
    </x:row>
    <x:row r="20" ht="24" customHeight="1">
      <x:c r="A20" s="2" t="n">
        <x:f>'Budget'!A11</x:f>
        <x:v>2</x:v>
      </x:c>
      <x:c r="B20" s="8" t="n">
        <x:f>'Budget'!B11</x:f>
        <x:v>46339.5</x:v>
      </x:c>
      <x:c r="C20" s="2" t="str">
        <x:v>Trials</x:v>
      </x:c>
      <x:c r="D20" s="2" t="str">
        <x:v>Count</x:v>
      </x:c>
      <x:c r="E20" s="6" t="n">
        <x:f>IF(ISNUMBER('Budget'!G11),'Budget'!G11,"")</x:f>
        <x:v>34</x:v>
      </x:c>
      <x:c r="F20" s="6" t="str">
        <x:f>IF(AND('Actual Results'!$L11="Yes",'Actual Results'!$K11&lt;&gt;"",ISNUMBER('Actual Results'!G11)),'Actual Results'!G11,"")</x:f>
      </x:c>
      <x:c r="G20" s="6" t="str">
        <x:f>IF(AND(ISNUMBER(E20),ISNUMBER(F20)),F20-E20,"")</x:f>
      </x:c>
      <x:c r="H20" s="36" t="str">
        <x:f>IF(AND(ISNUMBER(G20),ISNUMBER(E20),E20&lt;&gt;0),G20/ABS(E20),"")</x:f>
      </x:c>
      <x:c r="I20" s="2" t="str">
        <x:f>IF(NOT(ISNUMBER(F20)),"Awaiting verified actuals",IF(NOT(ISNUMBER(E20)),"No source budget target","Matched"))</x:f>
        <x:v>Awaiting verified actuals</x:v>
      </x:c>
      <x:c r="J20" s="2"/>
      <x:c r="K20" s="2"/>
      <x:c r="L20" s="2"/>
    </x:row>
    <x:row r="21" ht="24" customHeight="1">
      <x:c r="A21" s="2" t="n">
        <x:f>'Budget'!A11</x:f>
        <x:v>2</x:v>
      </x:c>
      <x:c r="B21" s="8" t="n">
        <x:f>'Budget'!B11</x:f>
        <x:v>46339.5</x:v>
      </x:c>
      <x:c r="C21" s="2" t="str">
        <x:v>New paid subs</x:v>
      </x:c>
      <x:c r="D21" s="2" t="str">
        <x:v>Count</x:v>
      </x:c>
      <x:c r="E21" s="6" t="str">
        <x:f>IF(ISNUMBER('Budget'!H11),'Budget'!H11,"")</x:f>
      </x:c>
      <x:c r="F21" s="6" t="str">
        <x:f>IF(AND('Actual Results'!$L11="Yes",'Actual Results'!$K11&lt;&gt;"",ISNUMBER('Actual Results'!H11)),'Actual Results'!H11,"")</x:f>
      </x:c>
      <x:c r="G21" s="6" t="str">
        <x:f>IF(AND(ISNUMBER(E21),ISNUMBER(F21)),F21-E21,"")</x:f>
      </x:c>
      <x:c r="H21" s="36" t="str">
        <x:f>IF(AND(ISNUMBER(G21),ISNUMBER(E21),E21&lt;&gt;0),G21/ABS(E21),"")</x:f>
      </x:c>
      <x:c r="I21" s="2" t="str">
        <x:f>IF(NOT(ISNUMBER(F21)),"Awaiting verified actuals",IF(NOT(ISNUMBER(E21)),"No source budget target","Matched"))</x:f>
        <x:v>Awaiting verified actuals</x:v>
      </x:c>
      <x:c r="J21" s="2"/>
      <x:c r="K21" s="2"/>
      <x:c r="L21" s="2"/>
    </x:row>
    <x:row r="22" ht="24" customHeight="1">
      <x:c r="A22" s="2" t="n">
        <x:f>'Budget'!A11</x:f>
        <x:v>2</x:v>
      </x:c>
      <x:c r="B22" s="8" t="n">
        <x:f>'Budget'!B11</x:f>
        <x:v>46339.5</x:v>
      </x:c>
      <x:c r="C22" s="2" t="str">
        <x:v>Cost / trial</x:v>
      </x:c>
      <x:c r="D22" s="2" t="str">
        <x:v>USD / trial</x:v>
      </x:c>
      <x:c r="E22" s="5" t="n">
        <x:f>IF(ISNUMBER('Budget'!I11),'Budget'!I11,"")</x:f>
        <x:v>14.81</x:v>
      </x:c>
      <x:c r="F22" s="5" t="str">
        <x:f>IF(AND('Actual Results'!$L11="Yes",'Actual Results'!$K11&lt;&gt;"",ISNUMBER('Actual Results'!I11)),'Actual Results'!I11,"")</x:f>
      </x:c>
      <x:c r="G22" s="5" t="str">
        <x:f>IF(AND(ISNUMBER(E22),ISNUMBER(F22)),F22-E22,"")</x:f>
      </x:c>
      <x:c r="H22" s="36" t="str">
        <x:f>IF(AND(ISNUMBER(G22),ISNUMBER(E22),E22&lt;&gt;0),G22/ABS(E22),"")</x:f>
      </x:c>
      <x:c r="I22" s="2" t="str">
        <x:f>IF(NOT(ISNUMBER(F22)),"Awaiting verified actuals",IF(NOT(ISNUMBER(E22)),"No source budget target","Matched"))</x:f>
        <x:v>Awaiting verified actuals</x:v>
      </x:c>
      <x:c r="J22" s="2"/>
      <x:c r="K22" s="2"/>
      <x:c r="L22" s="2"/>
    </x:row>
    <x:row r="23" ht="24" customHeight="1">
      <x:c r="A23" s="2" t="n">
        <x:f>'Budget'!A11</x:f>
        <x:v>2</x:v>
      </x:c>
      <x:c r="B23" s="8" t="n">
        <x:f>'Budget'!B11</x:f>
        <x:v>46339.5</x:v>
      </x:c>
      <x:c r="C23" s="2" t="str">
        <x:v>CAC to date</x:v>
      </x:c>
      <x:c r="D23" s="2" t="str">
        <x:v>USD / paid</x:v>
      </x:c>
      <x:c r="E23" s="5" t="str">
        <x:f>IF(ISNUMBER('Budget'!J11),'Budget'!J11,"")</x:f>
      </x:c>
      <x:c r="F23" s="5" t="str">
        <x:f>IF(AND('Actual Results'!$L11="Yes",'Actual Results'!$K11&lt;&gt;"",ISNUMBER('Actual Results'!J11)),'Actual Results'!J11,"")</x:f>
      </x:c>
      <x:c r="G23" s="5" t="str">
        <x:f>IF(AND(ISNUMBER(E23),ISNUMBER(F23)),F23-E23,"")</x:f>
      </x:c>
      <x:c r="H23" s="36" t="str">
        <x:f>IF(AND(ISNUMBER(G23),ISNUMBER(E23),E23&lt;&gt;0),G23/ABS(E23),"")</x:f>
      </x:c>
      <x:c r="I23" s="2" t="str">
        <x:f>IF(NOT(ISNUMBER(F23)),"Awaiting verified actuals",IF(NOT(ISNUMBER(E23)),"No source budget target","Matched"))</x:f>
        <x:v>Awaiting verified actuals</x:v>
      </x:c>
      <x:c r="J23" s="2"/>
      <x:c r="K23" s="2"/>
      <x:c r="L23" s="2"/>
    </x:row>
    <x:row r="24" ht="24" customHeight="1">
      <x:c r="A24" s="2" t="n">
        <x:f>'Budget'!A12</x:f>
        <x:v>3</x:v>
      </x:c>
      <x:c r="B24" s="8" t="n">
        <x:f>'Budget'!B12</x:f>
        <x:v>46346.5</x:v>
      </x:c>
      <x:c r="C24" s="2" t="str">
        <x:v>Ad spend</x:v>
      </x:c>
      <x:c r="D24" s="2" t="str">
        <x:v>USD</x:v>
      </x:c>
      <x:c r="E24" s="4" t="n">
        <x:f>IF(ISNUMBER('Budget'!D12),'Budget'!D12,"")</x:f>
        <x:v>700</x:v>
      </x:c>
      <x:c r="F24" s="4" t="str">
        <x:f>IF(AND('Actual Results'!$L12="Yes",'Actual Results'!$K12&lt;&gt;"",ISNUMBER('Actual Results'!D12)),'Actual Results'!D12,"")</x:f>
      </x:c>
      <x:c r="G24" s="4" t="str">
        <x:f>IF(AND(ISNUMBER(E24),ISNUMBER(F24)),F24-E24,"")</x:f>
      </x:c>
      <x:c r="H24" s="36" t="str">
        <x:f>IF(AND(ISNUMBER(G24),ISNUMBER(E24),E24&lt;&gt;0),G24/ABS(E24),"")</x:f>
      </x:c>
      <x:c r="I24" s="2" t="str">
        <x:f>IF(NOT(ISNUMBER(F24)),"Awaiting verified actuals",IF(NOT(ISNUMBER(E24)),"No source budget target","Matched"))</x:f>
        <x:v>Awaiting verified actuals</x:v>
      </x:c>
      <x:c r="J24" s="2"/>
      <x:c r="K24" s="2"/>
      <x:c r="L24" s="2"/>
    </x:row>
    <x:row r="25" ht="24" customHeight="1">
      <x:c r="A25" s="2" t="n">
        <x:f>'Budget'!A12</x:f>
        <x:v>3</x:v>
      </x:c>
      <x:c r="B25" s="8" t="n">
        <x:f>'Budget'!B12</x:f>
        <x:v>46346.5</x:v>
      </x:c>
      <x:c r="C25" s="2" t="str">
        <x:v>Ad views</x:v>
      </x:c>
      <x:c r="D25" s="2" t="str">
        <x:v>Count</x:v>
      </x:c>
      <x:c r="E25" s="6" t="n">
        <x:f>IF(ISNUMBER('Budget'!E12),'Budget'!E12,"")</x:f>
        <x:v>50000</x:v>
      </x:c>
      <x:c r="F25" s="6" t="str">
        <x:f>IF(AND('Actual Results'!$L12="Yes",'Actual Results'!$K12&lt;&gt;"",ISNUMBER('Actual Results'!E12)),'Actual Results'!E12,"")</x:f>
      </x:c>
      <x:c r="G25" s="6" t="str">
        <x:f>IF(AND(ISNUMBER(E25),ISNUMBER(F25)),F25-E25,"")</x:f>
      </x:c>
      <x:c r="H25" s="36" t="str">
        <x:f>IF(AND(ISNUMBER(G25),ISNUMBER(E25),E25&lt;&gt;0),G25/ABS(E25),"")</x:f>
      </x:c>
      <x:c r="I25" s="2" t="str">
        <x:f>IF(NOT(ISNUMBER(F25)),"Awaiting verified actuals",IF(NOT(ISNUMBER(E25)),"No source budget target","Matched"))</x:f>
        <x:v>Awaiting verified actuals</x:v>
      </x:c>
      <x:c r="J25" s="2"/>
      <x:c r="K25" s="2"/>
      <x:c r="L25" s="2"/>
    </x:row>
    <x:row r="26" ht="24" customHeight="1">
      <x:c r="A26" s="2" t="n">
        <x:f>'Budget'!A12</x:f>
        <x:v>3</x:v>
      </x:c>
      <x:c r="B26" s="8" t="n">
        <x:f>'Budget'!B12</x:f>
        <x:v>46346.5</x:v>
      </x:c>
      <x:c r="C26" s="2" t="str">
        <x:v>Signups</x:v>
      </x:c>
      <x:c r="D26" s="2" t="str">
        <x:v>Count</x:v>
      </x:c>
      <x:c r="E26" s="6" t="n">
        <x:f>IF(ISNUMBER('Budget'!F12),'Budget'!F12,"")</x:f>
        <x:v>75</x:v>
      </x:c>
      <x:c r="F26" s="6" t="str">
        <x:f>IF(AND('Actual Results'!$L12="Yes",'Actual Results'!$K12&lt;&gt;"",ISNUMBER('Actual Results'!F12)),'Actual Results'!F12,"")</x:f>
      </x:c>
      <x:c r="G26" s="6" t="str">
        <x:f>IF(AND(ISNUMBER(E26),ISNUMBER(F26)),F26-E26,"")</x:f>
      </x:c>
      <x:c r="H26" s="36" t="str">
        <x:f>IF(AND(ISNUMBER(G26),ISNUMBER(E26),E26&lt;&gt;0),G26/ABS(E26),"")</x:f>
      </x:c>
      <x:c r="I26" s="2" t="str">
        <x:f>IF(NOT(ISNUMBER(F26)),"Awaiting verified actuals",IF(NOT(ISNUMBER(E26)),"No source budget target","Matched"))</x:f>
        <x:v>Awaiting verified actuals</x:v>
      </x:c>
      <x:c r="J26" s="2"/>
      <x:c r="K26" s="2"/>
      <x:c r="L26" s="2"/>
    </x:row>
    <x:row r="27" ht="24" customHeight="1">
      <x:c r="A27" s="2" t="n">
        <x:f>'Budget'!A12</x:f>
        <x:v>3</x:v>
      </x:c>
      <x:c r="B27" s="8" t="n">
        <x:f>'Budget'!B12</x:f>
        <x:v>46346.5</x:v>
      </x:c>
      <x:c r="C27" s="2" t="str">
        <x:v>Trials</x:v>
      </x:c>
      <x:c r="D27" s="2" t="str">
        <x:v>Count</x:v>
      </x:c>
      <x:c r="E27" s="6" t="n">
        <x:f>IF(ISNUMBER('Budget'!G12),'Budget'!G12,"")</x:f>
        <x:v>47</x:v>
      </x:c>
      <x:c r="F27" s="6" t="str">
        <x:f>IF(AND('Actual Results'!$L12="Yes",'Actual Results'!$K12&lt;&gt;"",ISNUMBER('Actual Results'!G12)),'Actual Results'!G12,"")</x:f>
      </x:c>
      <x:c r="G27" s="6" t="str">
        <x:f>IF(AND(ISNUMBER(E27),ISNUMBER(F27)),F27-E27,"")</x:f>
      </x:c>
      <x:c r="H27" s="36" t="str">
        <x:f>IF(AND(ISNUMBER(G27),ISNUMBER(E27),E27&lt;&gt;0),G27/ABS(E27),"")</x:f>
      </x:c>
      <x:c r="I27" s="2" t="str">
        <x:f>IF(NOT(ISNUMBER(F27)),"Awaiting verified actuals",IF(NOT(ISNUMBER(E27)),"No source budget target","Matched"))</x:f>
        <x:v>Awaiting verified actuals</x:v>
      </x:c>
      <x:c r="J27" s="2"/>
      <x:c r="K27" s="2"/>
      <x:c r="L27" s="2"/>
    </x:row>
    <x:row r="28" ht="24" customHeight="1">
      <x:c r="A28" s="2" t="n">
        <x:f>'Budget'!A12</x:f>
        <x:v>3</x:v>
      </x:c>
      <x:c r="B28" s="8" t="n">
        <x:f>'Budget'!B12</x:f>
        <x:v>46346.5</x:v>
      </x:c>
      <x:c r="C28" s="2" t="str">
        <x:v>New paid subs</x:v>
      </x:c>
      <x:c r="D28" s="2" t="str">
        <x:v>Count</x:v>
      </x:c>
      <x:c r="E28" s="6" t="n">
        <x:f>IF(ISNUMBER('Budget'!H12),'Budget'!H12,"")</x:f>
        <x:v>17</x:v>
      </x:c>
      <x:c r="F28" s="6" t="str">
        <x:f>IF(AND('Actual Results'!$L12="Yes",'Actual Results'!$K12&lt;&gt;"",ISNUMBER('Actual Results'!H12)),'Actual Results'!H12,"")</x:f>
      </x:c>
      <x:c r="G28" s="6" t="str">
        <x:f>IF(AND(ISNUMBER(E28),ISNUMBER(F28)),F28-E28,"")</x:f>
      </x:c>
      <x:c r="H28" s="36" t="str">
        <x:f>IF(AND(ISNUMBER(G28),ISNUMBER(E28),E28&lt;&gt;0),G28/ABS(E28),"")</x:f>
      </x:c>
      <x:c r="I28" s="2" t="str">
        <x:f>IF(NOT(ISNUMBER(F28)),"Awaiting verified actuals",IF(NOT(ISNUMBER(E28)),"No source budget target","Matched"))</x:f>
        <x:v>Awaiting verified actuals</x:v>
      </x:c>
      <x:c r="J28" s="2"/>
      <x:c r="K28" s="2"/>
      <x:c r="L28" s="2"/>
    </x:row>
    <x:row r="29" ht="24" customHeight="1">
      <x:c r="A29" s="2" t="n">
        <x:f>'Budget'!A12</x:f>
        <x:v>3</x:v>
      </x:c>
      <x:c r="B29" s="8" t="n">
        <x:f>'Budget'!B12</x:f>
        <x:v>46346.5</x:v>
      </x:c>
      <x:c r="C29" s="2" t="str">
        <x:v>Cost / trial</x:v>
      </x:c>
      <x:c r="D29" s="2" t="str">
        <x:v>USD / trial</x:v>
      </x:c>
      <x:c r="E29" s="5" t="n">
        <x:f>IF(ISNUMBER('Budget'!I12),'Budget'!I12,"")</x:f>
        <x:v>14.81</x:v>
      </x:c>
      <x:c r="F29" s="5" t="str">
        <x:f>IF(AND('Actual Results'!$L12="Yes",'Actual Results'!$K12&lt;&gt;"",ISNUMBER('Actual Results'!I12)),'Actual Results'!I12,"")</x:f>
      </x:c>
      <x:c r="G29" s="5" t="str">
        <x:f>IF(AND(ISNUMBER(E29),ISNUMBER(F29)),F29-E29,"")</x:f>
      </x:c>
      <x:c r="H29" s="36" t="str">
        <x:f>IF(AND(ISNUMBER(G29),ISNUMBER(E29),E29&lt;&gt;0),G29/ABS(E29),"")</x:f>
      </x:c>
      <x:c r="I29" s="2" t="str">
        <x:f>IF(NOT(ISNUMBER(F29)),"Awaiting verified actuals",IF(NOT(ISNUMBER(E29)),"No source budget target","Matched"))</x:f>
        <x:v>Awaiting verified actuals</x:v>
      </x:c>
      <x:c r="J29" s="2"/>
      <x:c r="K29" s="2"/>
      <x:c r="L29" s="2"/>
    </x:row>
    <x:row r="30" ht="24" customHeight="1">
      <x:c r="A30" s="2" t="n">
        <x:f>'Budget'!A12</x:f>
        <x:v>3</x:v>
      </x:c>
      <x:c r="B30" s="8" t="n">
        <x:f>'Budget'!B12</x:f>
        <x:v>46346.5</x:v>
      </x:c>
      <x:c r="C30" s="2" t="str">
        <x:v>CAC to date</x:v>
      </x:c>
      <x:c r="D30" s="2" t="str">
        <x:v>USD / paid</x:v>
      </x:c>
      <x:c r="E30" s="5" t="n">
        <x:f>IF(ISNUMBER('Budget'!J12),'Budget'!J12,"")</x:f>
        <x:v>100.74</x:v>
      </x:c>
      <x:c r="F30" s="5" t="str">
        <x:f>IF(AND('Actual Results'!$L12="Yes",'Actual Results'!$K12&lt;&gt;"",ISNUMBER('Actual Results'!J12)),'Actual Results'!J12,"")</x:f>
      </x:c>
      <x:c r="G30" s="5" t="str">
        <x:f>IF(AND(ISNUMBER(E30),ISNUMBER(F30)),F30-E30,"")</x:f>
      </x:c>
      <x:c r="H30" s="36" t="str">
        <x:f>IF(AND(ISNUMBER(G30),ISNUMBER(E30),E30&lt;&gt;0),G30/ABS(E30),"")</x:f>
      </x:c>
      <x:c r="I30" s="2" t="str">
        <x:f>IF(NOT(ISNUMBER(F30)),"Awaiting verified actuals",IF(NOT(ISNUMBER(E30)),"No source budget target","Matched"))</x:f>
        <x:v>Awaiting verified actuals</x:v>
      </x:c>
      <x:c r="J30" s="2"/>
      <x:c r="K30" s="2"/>
      <x:c r="L30" s="2"/>
    </x:row>
    <x:row r="31" ht="24" customHeight="1">
      <x:c r="A31" s="2" t="n">
        <x:f>'Budget'!A13</x:f>
        <x:v>4</x:v>
      </x:c>
      <x:c r="B31" s="8" t="n">
        <x:f>'Budget'!B13</x:f>
        <x:v>46353.5</x:v>
      </x:c>
      <x:c r="C31" s="2" t="str">
        <x:v>Ad spend</x:v>
      </x:c>
      <x:c r="D31" s="2" t="str">
        <x:v>USD</x:v>
      </x:c>
      <x:c r="E31" s="4" t="n">
        <x:f>IF(ISNUMBER('Budget'!D13),'Budget'!D13,"")</x:f>
        <x:v>700</x:v>
      </x:c>
      <x:c r="F31" s="4" t="str">
        <x:f>IF(AND('Actual Results'!$L13="Yes",'Actual Results'!$K13&lt;&gt;"",ISNUMBER('Actual Results'!D13)),'Actual Results'!D13,"")</x:f>
      </x:c>
      <x:c r="G31" s="4" t="str">
        <x:f>IF(AND(ISNUMBER(E31),ISNUMBER(F31)),F31-E31,"")</x:f>
      </x:c>
      <x:c r="H31" s="36" t="str">
        <x:f>IF(AND(ISNUMBER(G31),ISNUMBER(E31),E31&lt;&gt;0),G31/ABS(E31),"")</x:f>
      </x:c>
      <x:c r="I31" s="2" t="str">
        <x:f>IF(NOT(ISNUMBER(F31)),"Awaiting verified actuals",IF(NOT(ISNUMBER(E31)),"No source budget target","Matched"))</x:f>
        <x:v>Awaiting verified actuals</x:v>
      </x:c>
      <x:c r="J31" s="2"/>
      <x:c r="K31" s="2"/>
      <x:c r="L31" s="2"/>
    </x:row>
    <x:row r="32" ht="24" customHeight="1">
      <x:c r="A32" s="2" t="n">
        <x:f>'Budget'!A13</x:f>
        <x:v>4</x:v>
      </x:c>
      <x:c r="B32" s="8" t="n">
        <x:f>'Budget'!B13</x:f>
        <x:v>46353.5</x:v>
      </x:c>
      <x:c r="C32" s="2" t="str">
        <x:v>Ad views</x:v>
      </x:c>
      <x:c r="D32" s="2" t="str">
        <x:v>Count</x:v>
      </x:c>
      <x:c r="E32" s="6" t="n">
        <x:f>IF(ISNUMBER('Budget'!E13),'Budget'!E13,"")</x:f>
        <x:v>50000</x:v>
      </x:c>
      <x:c r="F32" s="6" t="str">
        <x:f>IF(AND('Actual Results'!$L13="Yes",'Actual Results'!$K13&lt;&gt;"",ISNUMBER('Actual Results'!E13)),'Actual Results'!E13,"")</x:f>
      </x:c>
      <x:c r="G32" s="6" t="str">
        <x:f>IF(AND(ISNUMBER(E32),ISNUMBER(F32)),F32-E32,"")</x:f>
      </x:c>
      <x:c r="H32" s="36" t="str">
        <x:f>IF(AND(ISNUMBER(G32),ISNUMBER(E32),E32&lt;&gt;0),G32/ABS(E32),"")</x:f>
      </x:c>
      <x:c r="I32" s="2" t="str">
        <x:f>IF(NOT(ISNUMBER(F32)),"Awaiting verified actuals",IF(NOT(ISNUMBER(E32)),"No source budget target","Matched"))</x:f>
        <x:v>Awaiting verified actuals</x:v>
      </x:c>
      <x:c r="J32" s="2"/>
      <x:c r="K32" s="2"/>
      <x:c r="L32" s="2"/>
    </x:row>
    <x:row r="33" ht="24" customHeight="1">
      <x:c r="A33" s="2" t="n">
        <x:f>'Budget'!A13</x:f>
        <x:v>4</x:v>
      </x:c>
      <x:c r="B33" s="8" t="n">
        <x:f>'Budget'!B13</x:f>
        <x:v>46353.5</x:v>
      </x:c>
      <x:c r="C33" s="2" t="str">
        <x:v>Signups</x:v>
      </x:c>
      <x:c r="D33" s="2" t="str">
        <x:v>Count</x:v>
      </x:c>
      <x:c r="E33" s="6" t="n">
        <x:f>IF(ISNUMBER('Budget'!F13),'Budget'!F13,"")</x:f>
        <x:v>75</x:v>
      </x:c>
      <x:c r="F33" s="6" t="str">
        <x:f>IF(AND('Actual Results'!$L13="Yes",'Actual Results'!$K13&lt;&gt;"",ISNUMBER('Actual Results'!F13)),'Actual Results'!F13,"")</x:f>
      </x:c>
      <x:c r="G33" s="6" t="str">
        <x:f>IF(AND(ISNUMBER(E33),ISNUMBER(F33)),F33-E33,"")</x:f>
      </x:c>
      <x:c r="H33" s="36" t="str">
        <x:f>IF(AND(ISNUMBER(G33),ISNUMBER(E33),E33&lt;&gt;0),G33/ABS(E33),"")</x:f>
      </x:c>
      <x:c r="I33" s="2" t="str">
        <x:f>IF(NOT(ISNUMBER(F33)),"Awaiting verified actuals",IF(NOT(ISNUMBER(E33)),"No source budget target","Matched"))</x:f>
        <x:v>Awaiting verified actuals</x:v>
      </x:c>
      <x:c r="J33" s="2"/>
      <x:c r="K33" s="2"/>
      <x:c r="L33" s="2"/>
    </x:row>
    <x:row r="34" ht="24" customHeight="1">
      <x:c r="A34" s="2" t="n">
        <x:f>'Budget'!A13</x:f>
        <x:v>4</x:v>
      </x:c>
      <x:c r="B34" s="8" t="n">
        <x:f>'Budget'!B13</x:f>
        <x:v>46353.5</x:v>
      </x:c>
      <x:c r="C34" s="2" t="str">
        <x:v>Trials</x:v>
      </x:c>
      <x:c r="D34" s="2" t="str">
        <x:v>Count</x:v>
      </x:c>
      <x:c r="E34" s="6" t="n">
        <x:f>IF(ISNUMBER('Budget'!G13),'Budget'!G13,"")</x:f>
        <x:v>47</x:v>
      </x:c>
      <x:c r="F34" s="6" t="str">
        <x:f>IF(AND('Actual Results'!$L13="Yes",'Actual Results'!$K13&lt;&gt;"",ISNUMBER('Actual Results'!G13)),'Actual Results'!G13,"")</x:f>
      </x:c>
      <x:c r="G34" s="6" t="str">
        <x:f>IF(AND(ISNUMBER(E34),ISNUMBER(F34)),F34-E34,"")</x:f>
      </x:c>
      <x:c r="H34" s="36" t="str">
        <x:f>IF(AND(ISNUMBER(G34),ISNUMBER(E34),E34&lt;&gt;0),G34/ABS(E34),"")</x:f>
      </x:c>
      <x:c r="I34" s="2" t="str">
        <x:f>IF(NOT(ISNUMBER(F34)),"Awaiting verified actuals",IF(NOT(ISNUMBER(E34)),"No source budget target","Matched"))</x:f>
        <x:v>Awaiting verified actuals</x:v>
      </x:c>
      <x:c r="J34" s="2"/>
      <x:c r="K34" s="2"/>
      <x:c r="L34" s="2"/>
    </x:row>
    <x:row r="35" ht="24" customHeight="1">
      <x:c r="A35" s="2" t="n">
        <x:f>'Budget'!A13</x:f>
        <x:v>4</x:v>
      </x:c>
      <x:c r="B35" s="8" t="n">
        <x:f>'Budget'!B13</x:f>
        <x:v>46353.5</x:v>
      </x:c>
      <x:c r="C35" s="2" t="str">
        <x:v>New paid subs</x:v>
      </x:c>
      <x:c r="D35" s="2" t="str">
        <x:v>Count</x:v>
      </x:c>
      <x:c r="E35" s="6" t="n">
        <x:f>IF(ISNUMBER('Budget'!H13),'Budget'!H13,"")</x:f>
        <x:v>17</x:v>
      </x:c>
      <x:c r="F35" s="6" t="str">
        <x:f>IF(AND('Actual Results'!$L13="Yes",'Actual Results'!$K13&lt;&gt;"",ISNUMBER('Actual Results'!H13)),'Actual Results'!H13,"")</x:f>
      </x:c>
      <x:c r="G35" s="6" t="str">
        <x:f>IF(AND(ISNUMBER(E35),ISNUMBER(F35)),F35-E35,"")</x:f>
      </x:c>
      <x:c r="H35" s="36" t="str">
        <x:f>IF(AND(ISNUMBER(G35),ISNUMBER(E35),E35&lt;&gt;0),G35/ABS(E35),"")</x:f>
      </x:c>
      <x:c r="I35" s="2" t="str">
        <x:f>IF(NOT(ISNUMBER(F35)),"Awaiting verified actuals",IF(NOT(ISNUMBER(E35)),"No source budget target","Matched"))</x:f>
        <x:v>Awaiting verified actuals</x:v>
      </x:c>
      <x:c r="J35" s="2"/>
      <x:c r="K35" s="2"/>
      <x:c r="L35" s="2"/>
    </x:row>
    <x:row r="36" ht="24" customHeight="1">
      <x:c r="A36" s="2" t="n">
        <x:f>'Budget'!A13</x:f>
        <x:v>4</x:v>
      </x:c>
      <x:c r="B36" s="8" t="n">
        <x:f>'Budget'!B13</x:f>
        <x:v>46353.5</x:v>
      </x:c>
      <x:c r="C36" s="2" t="str">
        <x:v>Cost / trial</x:v>
      </x:c>
      <x:c r="D36" s="2" t="str">
        <x:v>USD / trial</x:v>
      </x:c>
      <x:c r="E36" s="5" t="n">
        <x:f>IF(ISNUMBER('Budget'!I13),'Budget'!I13,"")</x:f>
        <x:v>14.81</x:v>
      </x:c>
      <x:c r="F36" s="5" t="str">
        <x:f>IF(AND('Actual Results'!$L13="Yes",'Actual Results'!$K13&lt;&gt;"",ISNUMBER('Actual Results'!I13)),'Actual Results'!I13,"")</x:f>
      </x:c>
      <x:c r="G36" s="5" t="str">
        <x:f>IF(AND(ISNUMBER(E36),ISNUMBER(F36)),F36-E36,"")</x:f>
      </x:c>
      <x:c r="H36" s="36" t="str">
        <x:f>IF(AND(ISNUMBER(G36),ISNUMBER(E36),E36&lt;&gt;0),G36/ABS(E36),"")</x:f>
      </x:c>
      <x:c r="I36" s="2" t="str">
        <x:f>IF(NOT(ISNUMBER(F36)),"Awaiting verified actuals",IF(NOT(ISNUMBER(E36)),"No source budget target","Matched"))</x:f>
        <x:v>Awaiting verified actuals</x:v>
      </x:c>
      <x:c r="J36" s="2"/>
      <x:c r="K36" s="2"/>
      <x:c r="L36" s="2"/>
    </x:row>
    <x:row r="37" ht="24" customHeight="1">
      <x:c r="A37" s="2" t="n">
        <x:f>'Budget'!A13</x:f>
        <x:v>4</x:v>
      </x:c>
      <x:c r="B37" s="8" t="n">
        <x:f>'Budget'!B13</x:f>
        <x:v>46353.5</x:v>
      </x:c>
      <x:c r="C37" s="2" t="str">
        <x:v>CAC to date</x:v>
      </x:c>
      <x:c r="D37" s="2" t="str">
        <x:v>USD / paid</x:v>
      </x:c>
      <x:c r="E37" s="5" t="n">
        <x:f>IF(ISNUMBER('Budget'!J13),'Budget'!J13,"")</x:f>
        <x:v>71.11</x:v>
      </x:c>
      <x:c r="F37" s="5" t="str">
        <x:f>IF(AND('Actual Results'!$L13="Yes",'Actual Results'!$K13&lt;&gt;"",ISNUMBER('Actual Results'!J13)),'Actual Results'!J13,"")</x:f>
      </x:c>
      <x:c r="G37" s="5" t="str">
        <x:f>IF(AND(ISNUMBER(E37),ISNUMBER(F37)),F37-E37,"")</x:f>
      </x:c>
      <x:c r="H37" s="36" t="str">
        <x:f>IF(AND(ISNUMBER(G37),ISNUMBER(E37),E37&lt;&gt;0),G37/ABS(E37),"")</x:f>
      </x:c>
      <x:c r="I37" s="2" t="str">
        <x:f>IF(NOT(ISNUMBER(F37)),"Awaiting verified actuals",IF(NOT(ISNUMBER(E37)),"No source budget target","Matched"))</x:f>
        <x:v>Awaiting verified actuals</x:v>
      </x:c>
      <x:c r="J37" s="2"/>
      <x:c r="K37" s="2"/>
      <x:c r="L37" s="2"/>
    </x:row>
    <x:row r="38" ht="24" customHeight="1">
      <x:c r="A38" s="2" t="n">
        <x:f>'Budget'!A14</x:f>
        <x:v>5</x:v>
      </x:c>
      <x:c r="B38" s="8" t="n">
        <x:f>'Budget'!B14</x:f>
        <x:v>46360.5</x:v>
      </x:c>
      <x:c r="C38" s="2" t="str">
        <x:v>Ad spend</x:v>
      </x:c>
      <x:c r="D38" s="2" t="str">
        <x:v>USD</x:v>
      </x:c>
      <x:c r="E38" s="4" t="n">
        <x:f>IF(ISNUMBER('Budget'!D14),'Budget'!D14,"")</x:f>
        <x:v>800</x:v>
      </x:c>
      <x:c r="F38" s="4" t="str">
        <x:f>IF(AND('Actual Results'!$L14="Yes",'Actual Results'!$K14&lt;&gt;"",ISNUMBER('Actual Results'!D14)),'Actual Results'!D14,"")</x:f>
      </x:c>
      <x:c r="G38" s="4" t="str">
        <x:f>IF(AND(ISNUMBER(E38),ISNUMBER(F38)),F38-E38,"")</x:f>
      </x:c>
      <x:c r="H38" s="36" t="str">
        <x:f>IF(AND(ISNUMBER(G38),ISNUMBER(E38),E38&lt;&gt;0),G38/ABS(E38),"")</x:f>
      </x:c>
      <x:c r="I38" s="2" t="str">
        <x:f>IF(NOT(ISNUMBER(F38)),"Awaiting verified actuals",IF(NOT(ISNUMBER(E38)),"No source budget target","Matched"))</x:f>
        <x:v>Awaiting verified actuals</x:v>
      </x:c>
      <x:c r="J38" s="2"/>
      <x:c r="K38" s="2"/>
      <x:c r="L38" s="2"/>
    </x:row>
    <x:row r="39" ht="24" customHeight="1">
      <x:c r="A39" s="2" t="n">
        <x:f>'Budget'!A14</x:f>
        <x:v>5</x:v>
      </x:c>
      <x:c r="B39" s="8" t="n">
        <x:f>'Budget'!B14</x:f>
        <x:v>46360.5</x:v>
      </x:c>
      <x:c r="C39" s="2" t="str">
        <x:v>Ad views</x:v>
      </x:c>
      <x:c r="D39" s="2" t="str">
        <x:v>Count</x:v>
      </x:c>
      <x:c r="E39" s="6" t="n">
        <x:f>IF(ISNUMBER('Budget'!E14),'Budget'!E14,"")</x:f>
        <x:v>57143</x:v>
      </x:c>
      <x:c r="F39" s="6" t="str">
        <x:f>IF(AND('Actual Results'!$L14="Yes",'Actual Results'!$K14&lt;&gt;"",ISNUMBER('Actual Results'!E14)),'Actual Results'!E14,"")</x:f>
      </x:c>
      <x:c r="G39" s="6" t="str">
        <x:f>IF(AND(ISNUMBER(E39),ISNUMBER(F39)),F39-E39,"")</x:f>
      </x:c>
      <x:c r="H39" s="36" t="str">
        <x:f>IF(AND(ISNUMBER(G39),ISNUMBER(E39),E39&lt;&gt;0),G39/ABS(E39),"")</x:f>
      </x:c>
      <x:c r="I39" s="2" t="str">
        <x:f>IF(NOT(ISNUMBER(F39)),"Awaiting verified actuals",IF(NOT(ISNUMBER(E39)),"No source budget target","Matched"))</x:f>
        <x:v>Awaiting verified actuals</x:v>
      </x:c>
      <x:c r="J39" s="2"/>
      <x:c r="K39" s="2"/>
      <x:c r="L39" s="2"/>
    </x:row>
    <x:row r="40" ht="24" customHeight="1">
      <x:c r="A40" s="2" t="n">
        <x:f>'Budget'!A14</x:f>
        <x:v>5</x:v>
      </x:c>
      <x:c r="B40" s="8" t="n">
        <x:f>'Budget'!B14</x:f>
        <x:v>46360.5</x:v>
      </x:c>
      <x:c r="C40" s="2" t="str">
        <x:v>Signups</x:v>
      </x:c>
      <x:c r="D40" s="2" t="str">
        <x:v>Count</x:v>
      </x:c>
      <x:c r="E40" s="6" t="n">
        <x:f>IF(ISNUMBER('Budget'!F14),'Budget'!F14,"")</x:f>
        <x:v>86</x:v>
      </x:c>
      <x:c r="F40" s="6" t="str">
        <x:f>IF(AND('Actual Results'!$L14="Yes",'Actual Results'!$K14&lt;&gt;"",ISNUMBER('Actual Results'!F14)),'Actual Results'!F14,"")</x:f>
      </x:c>
      <x:c r="G40" s="6" t="str">
        <x:f>IF(AND(ISNUMBER(E40),ISNUMBER(F40)),F40-E40,"")</x:f>
      </x:c>
      <x:c r="H40" s="36" t="str">
        <x:f>IF(AND(ISNUMBER(G40),ISNUMBER(E40),E40&lt;&gt;0),G40/ABS(E40),"")</x:f>
      </x:c>
      <x:c r="I40" s="2" t="str">
        <x:f>IF(NOT(ISNUMBER(F40)),"Awaiting verified actuals",IF(NOT(ISNUMBER(E40)),"No source budget target","Matched"))</x:f>
        <x:v>Awaiting verified actuals</x:v>
      </x:c>
      <x:c r="J40" s="2"/>
      <x:c r="K40" s="2"/>
      <x:c r="L40" s="2"/>
    </x:row>
    <x:row r="41" ht="24" customHeight="1">
      <x:c r="A41" s="2" t="n">
        <x:f>'Budget'!A14</x:f>
        <x:v>5</x:v>
      </x:c>
      <x:c r="B41" s="8" t="n">
        <x:f>'Budget'!B14</x:f>
        <x:v>46360.5</x:v>
      </x:c>
      <x:c r="C41" s="2" t="str">
        <x:v>Trials</x:v>
      </x:c>
      <x:c r="D41" s="2" t="str">
        <x:v>Count</x:v>
      </x:c>
      <x:c r="E41" s="6" t="n">
        <x:f>IF(ISNUMBER('Budget'!G14),'Budget'!G14,"")</x:f>
        <x:v>54</x:v>
      </x:c>
      <x:c r="F41" s="6" t="str">
        <x:f>IF(AND('Actual Results'!$L14="Yes",'Actual Results'!$K14&lt;&gt;"",ISNUMBER('Actual Results'!G14)),'Actual Results'!G14,"")</x:f>
      </x:c>
      <x:c r="G41" s="6" t="str">
        <x:f>IF(AND(ISNUMBER(E41),ISNUMBER(F41)),F41-E41,"")</x:f>
      </x:c>
      <x:c r="H41" s="36" t="str">
        <x:f>IF(AND(ISNUMBER(G41),ISNUMBER(E41),E41&lt;&gt;0),G41/ABS(E41),"")</x:f>
      </x:c>
      <x:c r="I41" s="2" t="str">
        <x:f>IF(NOT(ISNUMBER(F41)),"Awaiting verified actuals",IF(NOT(ISNUMBER(E41)),"No source budget target","Matched"))</x:f>
        <x:v>Awaiting verified actuals</x:v>
      </x:c>
      <x:c r="J41" s="2"/>
      <x:c r="K41" s="2"/>
      <x:c r="L41" s="2"/>
    </x:row>
    <x:row r="42" ht="24" customHeight="1">
      <x:c r="A42" s="2" t="n">
        <x:f>'Budget'!A14</x:f>
        <x:v>5</x:v>
      </x:c>
      <x:c r="B42" s="8" t="n">
        <x:f>'Budget'!B14</x:f>
        <x:v>46360.5</x:v>
      </x:c>
      <x:c r="C42" s="2" t="str">
        <x:v>New paid subs</x:v>
      </x:c>
      <x:c r="D42" s="2" t="str">
        <x:v>Count</x:v>
      </x:c>
      <x:c r="E42" s="6" t="n">
        <x:f>IF(ISNUMBER('Budget'!H14),'Budget'!H14,"")</x:f>
        <x:v>24</x:v>
      </x:c>
      <x:c r="F42" s="6" t="str">
        <x:f>IF(AND('Actual Results'!$L14="Yes",'Actual Results'!$K14&lt;&gt;"",ISNUMBER('Actual Results'!H14)),'Actual Results'!H14,"")</x:f>
      </x:c>
      <x:c r="G42" s="6" t="str">
        <x:f>IF(AND(ISNUMBER(E42),ISNUMBER(F42)),F42-E42,"")</x:f>
      </x:c>
      <x:c r="H42" s="36" t="str">
        <x:f>IF(AND(ISNUMBER(G42),ISNUMBER(E42),E42&lt;&gt;0),G42/ABS(E42),"")</x:f>
      </x:c>
      <x:c r="I42" s="2" t="str">
        <x:f>IF(NOT(ISNUMBER(F42)),"Awaiting verified actuals",IF(NOT(ISNUMBER(E42)),"No source budget target","Matched"))</x:f>
        <x:v>Awaiting verified actuals</x:v>
      </x:c>
      <x:c r="J42" s="2"/>
      <x:c r="K42" s="2"/>
      <x:c r="L42" s="2"/>
    </x:row>
    <x:row r="43" ht="24" customHeight="1">
      <x:c r="A43" s="2" t="n">
        <x:f>'Budget'!A14</x:f>
        <x:v>5</x:v>
      </x:c>
      <x:c r="B43" s="8" t="n">
        <x:f>'Budget'!B14</x:f>
        <x:v>46360.5</x:v>
      </x:c>
      <x:c r="C43" s="2" t="str">
        <x:v>Cost / trial</x:v>
      </x:c>
      <x:c r="D43" s="2" t="str">
        <x:v>USD / trial</x:v>
      </x:c>
      <x:c r="E43" s="5" t="n">
        <x:f>IF(ISNUMBER('Budget'!I14),'Budget'!I14,"")</x:f>
        <x:v>14.81</x:v>
      </x:c>
      <x:c r="F43" s="5" t="str">
        <x:f>IF(AND('Actual Results'!$L14="Yes",'Actual Results'!$K14&lt;&gt;"",ISNUMBER('Actual Results'!I14)),'Actual Results'!I14,"")</x:f>
      </x:c>
      <x:c r="G43" s="5" t="str">
        <x:f>IF(AND(ISNUMBER(E43),ISNUMBER(F43)),F43-E43,"")</x:f>
      </x:c>
      <x:c r="H43" s="36" t="str">
        <x:f>IF(AND(ISNUMBER(G43),ISNUMBER(E43),E43&lt;&gt;0),G43/ABS(E43),"")</x:f>
      </x:c>
      <x:c r="I43" s="2" t="str">
        <x:f>IF(NOT(ISNUMBER(F43)),"Awaiting verified actuals",IF(NOT(ISNUMBER(E43)),"No source budget target","Matched"))</x:f>
        <x:v>Awaiting verified actuals</x:v>
      </x:c>
      <x:c r="J43" s="2"/>
      <x:c r="K43" s="2"/>
      <x:c r="L43" s="2"/>
    </x:row>
    <x:row r="44" ht="24" customHeight="1">
      <x:c r="A44" s="2" t="n">
        <x:f>'Budget'!A14</x:f>
        <x:v>5</x:v>
      </x:c>
      <x:c r="B44" s="8" t="n">
        <x:f>'Budget'!B14</x:f>
        <x:v>46360.5</x:v>
      </x:c>
      <x:c r="C44" s="2" t="str">
        <x:v>CAC to date</x:v>
      </x:c>
      <x:c r="D44" s="2" t="str">
        <x:v>USD / paid</x:v>
      </x:c>
      <x:c r="E44" s="5" t="n">
        <x:f>IF(ISNUMBER('Budget'!J14),'Budget'!J14,"")</x:f>
        <x:v>55.77</x:v>
      </x:c>
      <x:c r="F44" s="5" t="str">
        <x:f>IF(AND('Actual Results'!$L14="Yes",'Actual Results'!$K14&lt;&gt;"",ISNUMBER('Actual Results'!J14)),'Actual Results'!J14,"")</x:f>
      </x:c>
      <x:c r="G44" s="5" t="str">
        <x:f>IF(AND(ISNUMBER(E44),ISNUMBER(F44)),F44-E44,"")</x:f>
      </x:c>
      <x:c r="H44" s="36" t="str">
        <x:f>IF(AND(ISNUMBER(G44),ISNUMBER(E44),E44&lt;&gt;0),G44/ABS(E44),"")</x:f>
      </x:c>
      <x:c r="I44" s="2" t="str">
        <x:f>IF(NOT(ISNUMBER(F44)),"Awaiting verified actuals",IF(NOT(ISNUMBER(E44)),"No source budget target","Matched"))</x:f>
        <x:v>Awaiting verified actuals</x:v>
      </x:c>
      <x:c r="J44" s="2"/>
      <x:c r="K44" s="2"/>
      <x:c r="L44" s="2"/>
    </x:row>
    <x:row r="45" ht="24" customHeight="1">
      <x:c r="A45" s="2" t="n">
        <x:f>'Budget'!A15</x:f>
        <x:v>6</x:v>
      </x:c>
      <x:c r="B45" s="8" t="n">
        <x:f>'Budget'!B15</x:f>
        <x:v>46367.5</x:v>
      </x:c>
      <x:c r="C45" s="2" t="str">
        <x:v>Ad spend</x:v>
      </x:c>
      <x:c r="D45" s="2" t="str">
        <x:v>USD</x:v>
      </x:c>
      <x:c r="E45" s="4" t="n">
        <x:f>IF(ISNUMBER('Budget'!D15),'Budget'!D15,"")</x:f>
        <x:v>800</x:v>
      </x:c>
      <x:c r="F45" s="4" t="str">
        <x:f>IF(AND('Actual Results'!$L15="Yes",'Actual Results'!$K15&lt;&gt;"",ISNUMBER('Actual Results'!D15)),'Actual Results'!D15,"")</x:f>
      </x:c>
      <x:c r="G45" s="4" t="str">
        <x:f>IF(AND(ISNUMBER(E45),ISNUMBER(F45)),F45-E45,"")</x:f>
      </x:c>
      <x:c r="H45" s="36" t="str">
        <x:f>IF(AND(ISNUMBER(G45),ISNUMBER(E45),E45&lt;&gt;0),G45/ABS(E45),"")</x:f>
      </x:c>
      <x:c r="I45" s="2" t="str">
        <x:f>IF(NOT(ISNUMBER(F45)),"Awaiting verified actuals",IF(NOT(ISNUMBER(E45)),"No source budget target","Matched"))</x:f>
        <x:v>Awaiting verified actuals</x:v>
      </x:c>
      <x:c r="J45" s="2"/>
      <x:c r="K45" s="2"/>
      <x:c r="L45" s="2"/>
    </x:row>
    <x:row r="46" ht="24" customHeight="1">
      <x:c r="A46" s="2" t="n">
        <x:f>'Budget'!A15</x:f>
        <x:v>6</x:v>
      </x:c>
      <x:c r="B46" s="8" t="n">
        <x:f>'Budget'!B15</x:f>
        <x:v>46367.5</x:v>
      </x:c>
      <x:c r="C46" s="2" t="str">
        <x:v>Ad views</x:v>
      </x:c>
      <x:c r="D46" s="2" t="str">
        <x:v>Count</x:v>
      </x:c>
      <x:c r="E46" s="6" t="n">
        <x:f>IF(ISNUMBER('Budget'!E15),'Budget'!E15,"")</x:f>
        <x:v>57143</x:v>
      </x:c>
      <x:c r="F46" s="6" t="str">
        <x:f>IF(AND('Actual Results'!$L15="Yes",'Actual Results'!$K15&lt;&gt;"",ISNUMBER('Actual Results'!E15)),'Actual Results'!E15,"")</x:f>
      </x:c>
      <x:c r="G46" s="6" t="str">
        <x:f>IF(AND(ISNUMBER(E46),ISNUMBER(F46)),F46-E46,"")</x:f>
      </x:c>
      <x:c r="H46" s="36" t="str">
        <x:f>IF(AND(ISNUMBER(G46),ISNUMBER(E46),E46&lt;&gt;0),G46/ABS(E46),"")</x:f>
      </x:c>
      <x:c r="I46" s="2" t="str">
        <x:f>IF(NOT(ISNUMBER(F46)),"Awaiting verified actuals",IF(NOT(ISNUMBER(E46)),"No source budget target","Matched"))</x:f>
        <x:v>Awaiting verified actuals</x:v>
      </x:c>
      <x:c r="J46" s="2"/>
      <x:c r="K46" s="2"/>
      <x:c r="L46" s="2"/>
    </x:row>
    <x:row r="47" ht="24" customHeight="1">
      <x:c r="A47" s="2" t="n">
        <x:f>'Budget'!A15</x:f>
        <x:v>6</x:v>
      </x:c>
      <x:c r="B47" s="8" t="n">
        <x:f>'Budget'!B15</x:f>
        <x:v>46367.5</x:v>
      </x:c>
      <x:c r="C47" s="2" t="str">
        <x:v>Signups</x:v>
      </x:c>
      <x:c r="D47" s="2" t="str">
        <x:v>Count</x:v>
      </x:c>
      <x:c r="E47" s="6" t="n">
        <x:f>IF(ISNUMBER('Budget'!F15),'Budget'!F15,"")</x:f>
        <x:v>86</x:v>
      </x:c>
      <x:c r="F47" s="6" t="str">
        <x:f>IF(AND('Actual Results'!$L15="Yes",'Actual Results'!$K15&lt;&gt;"",ISNUMBER('Actual Results'!F15)),'Actual Results'!F15,"")</x:f>
      </x:c>
      <x:c r="G47" s="6" t="str">
        <x:f>IF(AND(ISNUMBER(E47),ISNUMBER(F47)),F47-E47,"")</x:f>
      </x:c>
      <x:c r="H47" s="36" t="str">
        <x:f>IF(AND(ISNUMBER(G47),ISNUMBER(E47),E47&lt;&gt;0),G47/ABS(E47),"")</x:f>
      </x:c>
      <x:c r="I47" s="2" t="str">
        <x:f>IF(NOT(ISNUMBER(F47)),"Awaiting verified actuals",IF(NOT(ISNUMBER(E47)),"No source budget target","Matched"))</x:f>
        <x:v>Awaiting verified actuals</x:v>
      </x:c>
      <x:c r="J47" s="2"/>
      <x:c r="K47" s="2"/>
      <x:c r="L47" s="2"/>
    </x:row>
    <x:row r="48" ht="24" customHeight="1">
      <x:c r="A48" s="2" t="n">
        <x:f>'Budget'!A15</x:f>
        <x:v>6</x:v>
      </x:c>
      <x:c r="B48" s="8" t="n">
        <x:f>'Budget'!B15</x:f>
        <x:v>46367.5</x:v>
      </x:c>
      <x:c r="C48" s="2" t="str">
        <x:v>Trials</x:v>
      </x:c>
      <x:c r="D48" s="2" t="str">
        <x:v>Count</x:v>
      </x:c>
      <x:c r="E48" s="6" t="n">
        <x:f>IF(ISNUMBER('Budget'!G15),'Budget'!G15,"")</x:f>
        <x:v>54</x:v>
      </x:c>
      <x:c r="F48" s="6" t="str">
        <x:f>IF(AND('Actual Results'!$L15="Yes",'Actual Results'!$K15&lt;&gt;"",ISNUMBER('Actual Results'!G15)),'Actual Results'!G15,"")</x:f>
      </x:c>
      <x:c r="G48" s="6" t="str">
        <x:f>IF(AND(ISNUMBER(E48),ISNUMBER(F48)),F48-E48,"")</x:f>
      </x:c>
      <x:c r="H48" s="36" t="str">
        <x:f>IF(AND(ISNUMBER(G48),ISNUMBER(E48),E48&lt;&gt;0),G48/ABS(E48),"")</x:f>
      </x:c>
      <x:c r="I48" s="2" t="str">
        <x:f>IF(NOT(ISNUMBER(F48)),"Awaiting verified actuals",IF(NOT(ISNUMBER(E48)),"No source budget target","Matched"))</x:f>
        <x:v>Awaiting verified actuals</x:v>
      </x:c>
      <x:c r="J48" s="2"/>
      <x:c r="K48" s="2"/>
      <x:c r="L48" s="2"/>
    </x:row>
    <x:row r="49" ht="24" customHeight="1">
      <x:c r="A49" s="2" t="n">
        <x:f>'Budget'!A15</x:f>
        <x:v>6</x:v>
      </x:c>
      <x:c r="B49" s="8" t="n">
        <x:f>'Budget'!B15</x:f>
        <x:v>46367.5</x:v>
      </x:c>
      <x:c r="C49" s="2" t="str">
        <x:v>New paid subs</x:v>
      </x:c>
      <x:c r="D49" s="2" t="str">
        <x:v>Count</x:v>
      </x:c>
      <x:c r="E49" s="6" t="n">
        <x:f>IF(ISNUMBER('Budget'!H15),'Budget'!H15,"")</x:f>
        <x:v>24</x:v>
      </x:c>
      <x:c r="F49" s="6" t="str">
        <x:f>IF(AND('Actual Results'!$L15="Yes",'Actual Results'!$K15&lt;&gt;"",ISNUMBER('Actual Results'!H15)),'Actual Results'!H15,"")</x:f>
      </x:c>
      <x:c r="G49" s="6" t="str">
        <x:f>IF(AND(ISNUMBER(E49),ISNUMBER(F49)),F49-E49,"")</x:f>
      </x:c>
      <x:c r="H49" s="36" t="str">
        <x:f>IF(AND(ISNUMBER(G49),ISNUMBER(E49),E49&lt;&gt;0),G49/ABS(E49),"")</x:f>
      </x:c>
      <x:c r="I49" s="2" t="str">
        <x:f>IF(NOT(ISNUMBER(F49)),"Awaiting verified actuals",IF(NOT(ISNUMBER(E49)),"No source budget target","Matched"))</x:f>
        <x:v>Awaiting verified actuals</x:v>
      </x:c>
      <x:c r="J49" s="2"/>
      <x:c r="K49" s="2"/>
      <x:c r="L49" s="2"/>
    </x:row>
    <x:row r="50" ht="24" customHeight="1">
      <x:c r="A50" s="2" t="n">
        <x:f>'Budget'!A15</x:f>
        <x:v>6</x:v>
      </x:c>
      <x:c r="B50" s="8" t="n">
        <x:f>'Budget'!B15</x:f>
        <x:v>46367.5</x:v>
      </x:c>
      <x:c r="C50" s="2" t="str">
        <x:v>Cost / trial</x:v>
      </x:c>
      <x:c r="D50" s="2" t="str">
        <x:v>USD / trial</x:v>
      </x:c>
      <x:c r="E50" s="5" t="n">
        <x:f>IF(ISNUMBER('Budget'!I15),'Budget'!I15,"")</x:f>
        <x:v>14.81</x:v>
      </x:c>
      <x:c r="F50" s="5" t="str">
        <x:f>IF(AND('Actual Results'!$L15="Yes",'Actual Results'!$K15&lt;&gt;"",ISNUMBER('Actual Results'!I15)),'Actual Results'!I15,"")</x:f>
      </x:c>
      <x:c r="G50" s="5" t="str">
        <x:f>IF(AND(ISNUMBER(E50),ISNUMBER(F50)),F50-E50,"")</x:f>
      </x:c>
      <x:c r="H50" s="36" t="str">
        <x:f>IF(AND(ISNUMBER(G50),ISNUMBER(E50),E50&lt;&gt;0),G50/ABS(E50),"")</x:f>
      </x:c>
      <x:c r="I50" s="2" t="str">
        <x:f>IF(NOT(ISNUMBER(F50)),"Awaiting verified actuals",IF(NOT(ISNUMBER(E50)),"No source budget target","Matched"))</x:f>
        <x:v>Awaiting verified actuals</x:v>
      </x:c>
      <x:c r="J50" s="2"/>
      <x:c r="K50" s="2"/>
      <x:c r="L50" s="2"/>
    </x:row>
    <x:row r="51" ht="24" customHeight="1">
      <x:c r="A51" s="2" t="n">
        <x:f>'Budget'!A15</x:f>
        <x:v>6</x:v>
      </x:c>
      <x:c r="B51" s="8" t="n">
        <x:f>'Budget'!B15</x:f>
        <x:v>46367.5</x:v>
      </x:c>
      <x:c r="C51" s="2" t="str">
        <x:v>CAC to date</x:v>
      </x:c>
      <x:c r="D51" s="2" t="str">
        <x:v>USD / paid</x:v>
      </x:c>
      <x:c r="E51" s="5" t="n">
        <x:f>IF(ISNUMBER('Budget'!J15),'Budget'!J15,"")</x:f>
        <x:v>49.38</x:v>
      </x:c>
      <x:c r="F51" s="5" t="str">
        <x:f>IF(AND('Actual Results'!$L15="Yes",'Actual Results'!$K15&lt;&gt;"",ISNUMBER('Actual Results'!J15)),'Actual Results'!J15,"")</x:f>
      </x:c>
      <x:c r="G51" s="5" t="str">
        <x:f>IF(AND(ISNUMBER(E51),ISNUMBER(F51)),F51-E51,"")</x:f>
      </x:c>
      <x:c r="H51" s="36" t="str">
        <x:f>IF(AND(ISNUMBER(G51),ISNUMBER(E51),E51&lt;&gt;0),G51/ABS(E51),"")</x:f>
      </x:c>
      <x:c r="I51" s="2" t="str">
        <x:f>IF(NOT(ISNUMBER(F51)),"Awaiting verified actuals",IF(NOT(ISNUMBER(E51)),"No source budget target","Matched"))</x:f>
        <x:v>Awaiting verified actuals</x:v>
      </x:c>
      <x:c r="J51" s="2"/>
      <x:c r="K51" s="2"/>
      <x:c r="L51" s="2"/>
    </x:row>
    <x:row r="52" ht="24" customHeight="1">
      <x:c r="A52" s="2" t="n">
        <x:f>'Budget'!A16</x:f>
        <x:v>7</x:v>
      </x:c>
      <x:c r="B52" s="8" t="n">
        <x:f>'Budget'!B16</x:f>
        <x:v>46374.5</x:v>
      </x:c>
      <x:c r="C52" s="2" t="str">
        <x:v>Ad spend</x:v>
      </x:c>
      <x:c r="D52" s="2" t="str">
        <x:v>USD</x:v>
      </x:c>
      <x:c r="E52" s="4" t="n">
        <x:f>IF(ISNUMBER('Budget'!D16),'Budget'!D16,"")</x:f>
        <x:v>0</x:v>
      </x:c>
      <x:c r="F52" s="4" t="str">
        <x:f>IF(AND('Actual Results'!$L16="Yes",'Actual Results'!$K16&lt;&gt;"",ISNUMBER('Actual Results'!D16)),'Actual Results'!D16,"")</x:f>
      </x:c>
      <x:c r="G52" s="4" t="str">
        <x:f>IF(AND(ISNUMBER(E52),ISNUMBER(F52)),F52-E52,"")</x:f>
      </x:c>
      <x:c r="H52" s="36" t="str">
        <x:f>IF(AND(ISNUMBER(G52),ISNUMBER(E52),E52&lt;&gt;0),G52/ABS(E52),"")</x:f>
      </x:c>
      <x:c r="I52" s="2" t="str">
        <x:f>IF(NOT(ISNUMBER(F52)),"Awaiting verified actuals",IF(NOT(ISNUMBER(E52)),"No source budget target","Matched"))</x:f>
        <x:v>Awaiting verified actuals</x:v>
      </x:c>
      <x:c r="J52" s="2"/>
      <x:c r="K52" s="2"/>
      <x:c r="L52" s="2"/>
    </x:row>
    <x:row r="53" ht="24" customHeight="1">
      <x:c r="A53" s="2" t="n">
        <x:f>'Budget'!A16</x:f>
        <x:v>7</x:v>
      </x:c>
      <x:c r="B53" s="8" t="n">
        <x:f>'Budget'!B16</x:f>
        <x:v>46374.5</x:v>
      </x:c>
      <x:c r="C53" s="2" t="str">
        <x:v>Ad views</x:v>
      </x:c>
      <x:c r="D53" s="2" t="str">
        <x:v>Count</x:v>
      </x:c>
      <x:c r="E53" s="6" t="str">
        <x:f>IF(ISNUMBER('Budget'!E16),'Budget'!E16,"")</x:f>
      </x:c>
      <x:c r="F53" s="6" t="str">
        <x:f>IF(AND('Actual Results'!$L16="Yes",'Actual Results'!$K16&lt;&gt;"",ISNUMBER('Actual Results'!E16)),'Actual Results'!E16,"")</x:f>
      </x:c>
      <x:c r="G53" s="6" t="str">
        <x:f>IF(AND(ISNUMBER(E53),ISNUMBER(F53)),F53-E53,"")</x:f>
      </x:c>
      <x:c r="H53" s="36" t="str">
        <x:f>IF(AND(ISNUMBER(G53),ISNUMBER(E53),E53&lt;&gt;0),G53/ABS(E53),"")</x:f>
      </x:c>
      <x:c r="I53" s="2" t="str">
        <x:f>IF(NOT(ISNUMBER(F53)),"Awaiting verified actuals",IF(NOT(ISNUMBER(E53)),"No source budget target","Matched"))</x:f>
        <x:v>Awaiting verified actuals</x:v>
      </x:c>
      <x:c r="J53" s="2"/>
      <x:c r="K53" s="2"/>
      <x:c r="L53" s="2"/>
    </x:row>
    <x:row r="54" ht="24" customHeight="1">
      <x:c r="A54" s="2" t="n">
        <x:f>'Budget'!A16</x:f>
        <x:v>7</x:v>
      </x:c>
      <x:c r="B54" s="8" t="n">
        <x:f>'Budget'!B16</x:f>
        <x:v>46374.5</x:v>
      </x:c>
      <x:c r="C54" s="2" t="str">
        <x:v>Signups</x:v>
      </x:c>
      <x:c r="D54" s="2" t="str">
        <x:v>Count</x:v>
      </x:c>
      <x:c r="E54" s="6" t="str">
        <x:f>IF(ISNUMBER('Budget'!F16),'Budget'!F16,"")</x:f>
      </x:c>
      <x:c r="F54" s="6" t="str">
        <x:f>IF(AND('Actual Results'!$L16="Yes",'Actual Results'!$K16&lt;&gt;"",ISNUMBER('Actual Results'!F16)),'Actual Results'!F16,"")</x:f>
      </x:c>
      <x:c r="G54" s="6" t="str">
        <x:f>IF(AND(ISNUMBER(E54),ISNUMBER(F54)),F54-E54,"")</x:f>
      </x:c>
      <x:c r="H54" s="36" t="str">
        <x:f>IF(AND(ISNUMBER(G54),ISNUMBER(E54),E54&lt;&gt;0),G54/ABS(E54),"")</x:f>
      </x:c>
      <x:c r="I54" s="2" t="str">
        <x:f>IF(NOT(ISNUMBER(F54)),"Awaiting verified actuals",IF(NOT(ISNUMBER(E54)),"No source budget target","Matched"))</x:f>
        <x:v>Awaiting verified actuals</x:v>
      </x:c>
      <x:c r="J54" s="2"/>
      <x:c r="K54" s="2"/>
      <x:c r="L54" s="2"/>
    </x:row>
    <x:row r="55" ht="24" customHeight="1">
      <x:c r="A55" s="2" t="n">
        <x:f>'Budget'!A16</x:f>
        <x:v>7</x:v>
      </x:c>
      <x:c r="B55" s="8" t="n">
        <x:f>'Budget'!B16</x:f>
        <x:v>46374.5</x:v>
      </x:c>
      <x:c r="C55" s="2" t="str">
        <x:v>Trials</x:v>
      </x:c>
      <x:c r="D55" s="2" t="str">
        <x:v>Count</x:v>
      </x:c>
      <x:c r="E55" s="6" t="str">
        <x:f>IF(ISNUMBER('Budget'!G16),'Budget'!G16,"")</x:f>
      </x:c>
      <x:c r="F55" s="6" t="str">
        <x:f>IF(AND('Actual Results'!$L16="Yes",'Actual Results'!$K16&lt;&gt;"",ISNUMBER('Actual Results'!G16)),'Actual Results'!G16,"")</x:f>
      </x:c>
      <x:c r="G55" s="6" t="str">
        <x:f>IF(AND(ISNUMBER(E55),ISNUMBER(F55)),F55-E55,"")</x:f>
      </x:c>
      <x:c r="H55" s="36" t="str">
        <x:f>IF(AND(ISNUMBER(G55),ISNUMBER(E55),E55&lt;&gt;0),G55/ABS(E55),"")</x:f>
      </x:c>
      <x:c r="I55" s="2" t="str">
        <x:f>IF(NOT(ISNUMBER(F55)),"Awaiting verified actuals",IF(NOT(ISNUMBER(E55)),"No source budget target","Matched"))</x:f>
        <x:v>Awaiting verified actuals</x:v>
      </x:c>
      <x:c r="J55" s="2"/>
      <x:c r="K55" s="2"/>
      <x:c r="L55" s="2"/>
    </x:row>
    <x:row r="56" ht="24" customHeight="1">
      <x:c r="A56" s="2" t="n">
        <x:f>'Budget'!A16</x:f>
        <x:v>7</x:v>
      </x:c>
      <x:c r="B56" s="8" t="n">
        <x:f>'Budget'!B16</x:f>
        <x:v>46374.5</x:v>
      </x:c>
      <x:c r="C56" s="2" t="str">
        <x:v>New paid subs</x:v>
      </x:c>
      <x:c r="D56" s="2" t="str">
        <x:v>Count</x:v>
      </x:c>
      <x:c r="E56" s="6" t="n">
        <x:f>IF(ISNUMBER('Budget'!H16),'Budget'!H16,"")</x:f>
        <x:v>27</x:v>
      </x:c>
      <x:c r="F56" s="6" t="str">
        <x:f>IF(AND('Actual Results'!$L16="Yes",'Actual Results'!$K16&lt;&gt;"",ISNUMBER('Actual Results'!H16)),'Actual Results'!H16,"")</x:f>
      </x:c>
      <x:c r="G56" s="6" t="str">
        <x:f>IF(AND(ISNUMBER(E56),ISNUMBER(F56)),F56-E56,"")</x:f>
      </x:c>
      <x:c r="H56" s="36" t="str">
        <x:f>IF(AND(ISNUMBER(G56),ISNUMBER(E56),E56&lt;&gt;0),G56/ABS(E56),"")</x:f>
      </x:c>
      <x:c r="I56" s="2" t="str">
        <x:f>IF(NOT(ISNUMBER(F56)),"Awaiting verified actuals",IF(NOT(ISNUMBER(E56)),"No source budget target","Matched"))</x:f>
        <x:v>Awaiting verified actuals</x:v>
      </x:c>
      <x:c r="J56" s="2"/>
      <x:c r="K56" s="2"/>
      <x:c r="L56" s="2"/>
    </x:row>
    <x:row r="57" ht="24" customHeight="1">
      <x:c r="A57" s="2" t="n">
        <x:f>'Budget'!A16</x:f>
        <x:v>7</x:v>
      </x:c>
      <x:c r="B57" s="8" t="n">
        <x:f>'Budget'!B16</x:f>
        <x:v>46374.5</x:v>
      </x:c>
      <x:c r="C57" s="2" t="str">
        <x:v>Cost / trial</x:v>
      </x:c>
      <x:c r="D57" s="2" t="str">
        <x:v>USD / trial</x:v>
      </x:c>
      <x:c r="E57" s="5" t="str">
        <x:f>IF(ISNUMBER('Budget'!I16),'Budget'!I16,"")</x:f>
      </x:c>
      <x:c r="F57" s="5" t="str">
        <x:f>IF(AND('Actual Results'!$L16="Yes",'Actual Results'!$K16&lt;&gt;"",ISNUMBER('Actual Results'!I16)),'Actual Results'!I16,"")</x:f>
      </x:c>
      <x:c r="G57" s="5" t="str">
        <x:f>IF(AND(ISNUMBER(E57),ISNUMBER(F57)),F57-E57,"")</x:f>
      </x:c>
      <x:c r="H57" s="36" t="str">
        <x:f>IF(AND(ISNUMBER(G57),ISNUMBER(E57),E57&lt;&gt;0),G57/ABS(E57),"")</x:f>
      </x:c>
      <x:c r="I57" s="2" t="str">
        <x:f>IF(NOT(ISNUMBER(F57)),"Awaiting verified actuals",IF(NOT(ISNUMBER(E57)),"No source budget target","Matched"))</x:f>
        <x:v>Awaiting verified actuals</x:v>
      </x:c>
      <x:c r="J57" s="2"/>
      <x:c r="K57" s="2"/>
      <x:c r="L57" s="2"/>
    </x:row>
    <x:row r="58" ht="24" customHeight="1">
      <x:c r="A58" s="2" t="n">
        <x:f>'Budget'!A16</x:f>
        <x:v>7</x:v>
      </x:c>
      <x:c r="B58" s="8" t="n">
        <x:f>'Budget'!B16</x:f>
        <x:v>46374.5</x:v>
      </x:c>
      <x:c r="C58" s="2" t="str">
        <x:v>CAC to date</x:v>
      </x:c>
      <x:c r="D58" s="2" t="str">
        <x:v>USD / paid</x:v>
      </x:c>
      <x:c r="E58" s="5" t="n">
        <x:f>IF(ISNUMBER('Budget'!J16),'Budget'!J16,"")</x:f>
        <x:v>37.04</x:v>
      </x:c>
      <x:c r="F58" s="5" t="str">
        <x:f>IF(AND('Actual Results'!$L16="Yes",'Actual Results'!$K16&lt;&gt;"",ISNUMBER('Actual Results'!J16)),'Actual Results'!J16,"")</x:f>
      </x:c>
      <x:c r="G58" s="5" t="str">
        <x:f>IF(AND(ISNUMBER(E58),ISNUMBER(F58)),F58-E58,"")</x:f>
      </x:c>
      <x:c r="H58" s="36" t="str">
        <x:f>IF(AND(ISNUMBER(G58),ISNUMBER(E58),E58&lt;&gt;0),G58/ABS(E58),"")</x:f>
      </x:c>
      <x:c r="I58" s="2" t="str">
        <x:f>IF(NOT(ISNUMBER(F58)),"Awaiting verified actuals",IF(NOT(ISNUMBER(E58)),"No source budget target","Matched"))</x:f>
        <x:v>Awaiting verified actuals</x:v>
      </x:c>
      <x:c r="J58" s="2"/>
      <x:c r="K58" s="2"/>
      <x:c r="L58" s="2"/>
    </x:row>
    <x:row r="59" ht="24" customHeight="1">
      <x:c r="A59" s="2" t="n">
        <x:f>'Budget'!A17</x:f>
        <x:v>8</x:v>
      </x:c>
      <x:c r="B59" s="8" t="n">
        <x:f>'Budget'!B17</x:f>
        <x:v>46381.5</x:v>
      </x:c>
      <x:c r="C59" s="2" t="str">
        <x:v>Ad spend</x:v>
      </x:c>
      <x:c r="D59" s="2" t="str">
        <x:v>USD</x:v>
      </x:c>
      <x:c r="E59" s="4" t="n">
        <x:f>IF(ISNUMBER('Budget'!D17),'Budget'!D17,"")</x:f>
        <x:v>0</x:v>
      </x:c>
      <x:c r="F59" s="4" t="str">
        <x:f>IF(AND('Actual Results'!$L17="Yes",'Actual Results'!$K17&lt;&gt;"",ISNUMBER('Actual Results'!D17)),'Actual Results'!D17,"")</x:f>
      </x:c>
      <x:c r="G59" s="4" t="str">
        <x:f>IF(AND(ISNUMBER(E59),ISNUMBER(F59)),F59-E59,"")</x:f>
      </x:c>
      <x:c r="H59" s="36" t="str">
        <x:f>IF(AND(ISNUMBER(G59),ISNUMBER(E59),E59&lt;&gt;0),G59/ABS(E59),"")</x:f>
      </x:c>
      <x:c r="I59" s="2" t="str">
        <x:f>IF(NOT(ISNUMBER(F59)),"Awaiting verified actuals",IF(NOT(ISNUMBER(E59)),"No source budget target","Matched"))</x:f>
        <x:v>Awaiting verified actuals</x:v>
      </x:c>
      <x:c r="J59" s="2"/>
      <x:c r="K59" s="2"/>
      <x:c r="L59" s="2"/>
    </x:row>
    <x:row r="60" ht="24" customHeight="1">
      <x:c r="A60" s="2" t="n">
        <x:f>'Budget'!A17</x:f>
        <x:v>8</x:v>
      </x:c>
      <x:c r="B60" s="8" t="n">
        <x:f>'Budget'!B17</x:f>
        <x:v>46381.5</x:v>
      </x:c>
      <x:c r="C60" s="2" t="str">
        <x:v>Ad views</x:v>
      </x:c>
      <x:c r="D60" s="2" t="str">
        <x:v>Count</x:v>
      </x:c>
      <x:c r="E60" s="6" t="str">
        <x:f>IF(ISNUMBER('Budget'!E17),'Budget'!E17,"")</x:f>
      </x:c>
      <x:c r="F60" s="6" t="str">
        <x:f>IF(AND('Actual Results'!$L17="Yes",'Actual Results'!$K17&lt;&gt;"",ISNUMBER('Actual Results'!E17)),'Actual Results'!E17,"")</x:f>
      </x:c>
      <x:c r="G60" s="6" t="str">
        <x:f>IF(AND(ISNUMBER(E60),ISNUMBER(F60)),F60-E60,"")</x:f>
      </x:c>
      <x:c r="H60" s="36" t="str">
        <x:f>IF(AND(ISNUMBER(G60),ISNUMBER(E60),E60&lt;&gt;0),G60/ABS(E60),"")</x:f>
      </x:c>
      <x:c r="I60" s="2" t="str">
        <x:f>IF(NOT(ISNUMBER(F60)),"Awaiting verified actuals",IF(NOT(ISNUMBER(E60)),"No source budget target","Matched"))</x:f>
        <x:v>Awaiting verified actuals</x:v>
      </x:c>
      <x:c r="J60" s="2"/>
      <x:c r="K60" s="2"/>
      <x:c r="L60" s="2"/>
    </x:row>
    <x:row r="61" ht="24" customHeight="1">
      <x:c r="A61" s="2" t="n">
        <x:f>'Budget'!A17</x:f>
        <x:v>8</x:v>
      </x:c>
      <x:c r="B61" s="8" t="n">
        <x:f>'Budget'!B17</x:f>
        <x:v>46381.5</x:v>
      </x:c>
      <x:c r="C61" s="2" t="str">
        <x:v>Signups</x:v>
      </x:c>
      <x:c r="D61" s="2" t="str">
        <x:v>Count</x:v>
      </x:c>
      <x:c r="E61" s="6" t="str">
        <x:f>IF(ISNUMBER('Budget'!F17),'Budget'!F17,"")</x:f>
      </x:c>
      <x:c r="F61" s="6" t="str">
        <x:f>IF(AND('Actual Results'!$L17="Yes",'Actual Results'!$K17&lt;&gt;"",ISNUMBER('Actual Results'!F17)),'Actual Results'!F17,"")</x:f>
      </x:c>
      <x:c r="G61" s="6" t="str">
        <x:f>IF(AND(ISNUMBER(E61),ISNUMBER(F61)),F61-E61,"")</x:f>
      </x:c>
      <x:c r="H61" s="36" t="str">
        <x:f>IF(AND(ISNUMBER(G61),ISNUMBER(E61),E61&lt;&gt;0),G61/ABS(E61),"")</x:f>
      </x:c>
      <x:c r="I61" s="2" t="str">
        <x:f>IF(NOT(ISNUMBER(F61)),"Awaiting verified actuals",IF(NOT(ISNUMBER(E61)),"No source budget target","Matched"))</x:f>
        <x:v>Awaiting verified actuals</x:v>
      </x:c>
      <x:c r="J61" s="2"/>
      <x:c r="K61" s="2"/>
      <x:c r="L61" s="2"/>
    </x:row>
    <x:row r="62" ht="24" customHeight="1">
      <x:c r="A62" s="2" t="n">
        <x:f>'Budget'!A17</x:f>
        <x:v>8</x:v>
      </x:c>
      <x:c r="B62" s="8" t="n">
        <x:f>'Budget'!B17</x:f>
        <x:v>46381.5</x:v>
      </x:c>
      <x:c r="C62" s="2" t="str">
        <x:v>Trials</x:v>
      </x:c>
      <x:c r="D62" s="2" t="str">
        <x:v>Count</x:v>
      </x:c>
      <x:c r="E62" s="6" t="str">
        <x:f>IF(ISNUMBER('Budget'!G17),'Budget'!G17,"")</x:f>
      </x:c>
      <x:c r="F62" s="6" t="str">
        <x:f>IF(AND('Actual Results'!$L17="Yes",'Actual Results'!$K17&lt;&gt;"",ISNUMBER('Actual Results'!G17)),'Actual Results'!G17,"")</x:f>
      </x:c>
      <x:c r="G62" s="6" t="str">
        <x:f>IF(AND(ISNUMBER(E62),ISNUMBER(F62)),F62-E62,"")</x:f>
      </x:c>
      <x:c r="H62" s="36" t="str">
        <x:f>IF(AND(ISNUMBER(G62),ISNUMBER(E62),E62&lt;&gt;0),G62/ABS(E62),"")</x:f>
      </x:c>
      <x:c r="I62" s="2" t="str">
        <x:f>IF(NOT(ISNUMBER(F62)),"Awaiting verified actuals",IF(NOT(ISNUMBER(E62)),"No source budget target","Matched"))</x:f>
        <x:v>Awaiting verified actuals</x:v>
      </x:c>
      <x:c r="J62" s="2"/>
      <x:c r="K62" s="2"/>
      <x:c r="L62" s="2"/>
    </x:row>
    <x:row r="63" ht="24" customHeight="1">
      <x:c r="A63" s="2" t="n">
        <x:f>'Budget'!A17</x:f>
        <x:v>8</x:v>
      </x:c>
      <x:c r="B63" s="8" t="n">
        <x:f>'Budget'!B17</x:f>
        <x:v>46381.5</x:v>
      </x:c>
      <x:c r="C63" s="2" t="str">
        <x:v>New paid subs</x:v>
      </x:c>
      <x:c r="D63" s="2" t="str">
        <x:v>Count</x:v>
      </x:c>
      <x:c r="E63" s="6" t="n">
        <x:f>IF(ISNUMBER('Budget'!H17),'Budget'!H17,"")</x:f>
        <x:v>27</x:v>
      </x:c>
      <x:c r="F63" s="6" t="str">
        <x:f>IF(AND('Actual Results'!$L17="Yes",'Actual Results'!$K17&lt;&gt;"",ISNUMBER('Actual Results'!H17)),'Actual Results'!H17,"")</x:f>
      </x:c>
      <x:c r="G63" s="6" t="str">
        <x:f>IF(AND(ISNUMBER(E63),ISNUMBER(F63)),F63-E63,"")</x:f>
      </x:c>
      <x:c r="H63" s="36" t="str">
        <x:f>IF(AND(ISNUMBER(G63),ISNUMBER(E63),E63&lt;&gt;0),G63/ABS(E63),"")</x:f>
      </x:c>
      <x:c r="I63" s="2" t="str">
        <x:f>IF(NOT(ISNUMBER(F63)),"Awaiting verified actuals",IF(NOT(ISNUMBER(E63)),"No source budget target","Matched"))</x:f>
        <x:v>Awaiting verified actuals</x:v>
      </x:c>
      <x:c r="J63" s="2"/>
      <x:c r="K63" s="2"/>
      <x:c r="L63" s="2"/>
    </x:row>
    <x:row r="64" ht="24" customHeight="1">
      <x:c r="A64" s="2" t="n">
        <x:f>'Budget'!A17</x:f>
        <x:v>8</x:v>
      </x:c>
      <x:c r="B64" s="8" t="n">
        <x:f>'Budget'!B17</x:f>
        <x:v>46381.5</x:v>
      </x:c>
      <x:c r="C64" s="2" t="str">
        <x:v>Cost / trial</x:v>
      </x:c>
      <x:c r="D64" s="2" t="str">
        <x:v>USD / trial</x:v>
      </x:c>
      <x:c r="E64" s="5" t="str">
        <x:f>IF(ISNUMBER('Budget'!I17),'Budget'!I17,"")</x:f>
      </x:c>
      <x:c r="F64" s="5" t="str">
        <x:f>IF(AND('Actual Results'!$L17="Yes",'Actual Results'!$K17&lt;&gt;"",ISNUMBER('Actual Results'!I17)),'Actual Results'!I17,"")</x:f>
      </x:c>
      <x:c r="G64" s="5" t="str">
        <x:f>IF(AND(ISNUMBER(E64),ISNUMBER(F64)),F64-E64,"")</x:f>
      </x:c>
      <x:c r="H64" s="36" t="str">
        <x:f>IF(AND(ISNUMBER(G64),ISNUMBER(E64),E64&lt;&gt;0),G64/ABS(E64),"")</x:f>
      </x:c>
      <x:c r="I64" s="2" t="str">
        <x:f>IF(NOT(ISNUMBER(F64)),"Awaiting verified actuals",IF(NOT(ISNUMBER(E64)),"No source budget target","Matched"))</x:f>
        <x:v>Awaiting verified actuals</x:v>
      </x:c>
      <x:c r="J64" s="2"/>
      <x:c r="K64" s="2"/>
      <x:c r="L64" s="2"/>
    </x:row>
    <x:row r="65" ht="24" customHeight="1">
      <x:c r="A65" s="2" t="n">
        <x:f>'Budget'!A17</x:f>
        <x:v>8</x:v>
      </x:c>
      <x:c r="B65" s="8" t="n">
        <x:f>'Budget'!B17</x:f>
        <x:v>46381.5</x:v>
      </x:c>
      <x:c r="C65" s="2" t="str">
        <x:v>CAC to date</x:v>
      </x:c>
      <x:c r="D65" s="2" t="str">
        <x:v>USD / paid</x:v>
      </x:c>
      <x:c r="E65" s="5" t="n">
        <x:f>IF(ISNUMBER('Budget'!J17),'Budget'!J17,"")</x:f>
        <x:v>29.63</x:v>
      </x:c>
      <x:c r="F65" s="5" t="str">
        <x:f>IF(AND('Actual Results'!$L17="Yes",'Actual Results'!$K17&lt;&gt;"",ISNUMBER('Actual Results'!J17)),'Actual Results'!J17,"")</x:f>
      </x:c>
      <x:c r="G65" s="5" t="str">
        <x:f>IF(AND(ISNUMBER(E65),ISNUMBER(F65)),F65-E65,"")</x:f>
      </x:c>
      <x:c r="H65" s="36" t="str">
        <x:f>IF(AND(ISNUMBER(G65),ISNUMBER(E65),E65&lt;&gt;0),G65/ABS(E65),"")</x:f>
      </x:c>
      <x:c r="I65" s="2" t="str">
        <x:f>IF(NOT(ISNUMBER(F65)),"Awaiting verified actuals",IF(NOT(ISNUMBER(E65)),"No source budget target","Matched"))</x:f>
        <x:v>Awaiting verified actuals</x:v>
      </x:c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19" t="str">
        <x:v>Percent variance is unavailable when the budget is zero. Comparisons do not authorize spend or decide ad actions.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E3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6" hidden="0" customWidth="1"/>
    <x:col min="9" max="9" width="35" hidden="0" customWidth="1"/>
    <x:col min="10" max="10" width="35" hidden="0" customWidth="1"/>
    <x:col min="11" max="11" width="17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Variance analysis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Explain the matched differences and record the corrective action, owner and next review.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19" t="str">
        <x:v>Positive expense or cost variance is over budget. Positive result variance is above target.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3" t="str">
        <x:v>Week</x:v>
      </x:c>
      <x:c r="B9" s="23" t="str">
        <x:v>Starts</x:v>
      </x:c>
      <x:c r="C9" s="23" t="str">
        <x:v>Metric</x:v>
      </x:c>
      <x:c r="D9" s="23" t="str">
        <x:v>Difference</x:v>
      </x:c>
      <x:c r="E9" s="23" t="str">
        <x:v>Variance %</x:v>
      </x:c>
      <x:c r="F9" s="23" t="str">
        <x:v>Budget</x:v>
      </x:c>
      <x:c r="G9" s="23" t="str">
        <x:v>Actual</x:v>
      </x:c>
      <x:c r="H9" s="23" t="str">
        <x:v>Status</x:v>
      </x:c>
      <x:c r="I9" s="23" t="str">
        <x:v>Cause / explanation</x:v>
      </x:c>
      <x:c r="J9" s="23" t="str">
        <x:v>Corrective action</x:v>
      </x:c>
      <x:c r="K9" s="23" t="str">
        <x:v>Owner</x:v>
      </x:c>
      <x:c r="L9" s="23" t="str">
        <x:v>Next review</x:v>
      </x:c>
    </x:row>
    <x:row r="10" ht="34" customHeight="1">
      <x:c r="A10" s="2" t="n">
        <x:f>IF('Actual vs Budget'!A10="","",'Actual vs Budget'!A10)</x:f>
        <x:v>1</x:v>
      </x:c>
      <x:c r="B10" s="8" t="n">
        <x:f>IF('Actual vs Budget'!B10="","",'Actual vs Budget'!B10)</x:f>
        <x:v>46332.5</x:v>
      </x:c>
      <x:c r="C10" s="2" t="str">
        <x:f>IF('Actual vs Budget'!C10="","",'Actual vs Budget'!C10)</x:f>
        <x:v>Ad spend</x:v>
      </x:c>
      <x:c r="D10" s="5" t="str">
        <x:f>IF('Actual vs Budget'!G10="","",'Actual vs Budget'!G10)</x:f>
      </x:c>
      <x:c r="E10" s="36" t="str">
        <x:f>IF('Actual vs Budget'!H10="","",'Actual vs Budget'!H10)</x:f>
      </x:c>
      <x:c r="F10" s="5" t="n">
        <x:f>IF('Actual vs Budget'!E10="","",'Actual vs Budget'!E10)</x:f>
        <x:v>500</x:v>
      </x:c>
      <x:c r="G10" s="5" t="str">
        <x:f>IF('Actual vs Budget'!F10="","",'Actual vs Budget'!F10)</x:f>
      </x:c>
      <x:c r="H10" s="2" t="str">
        <x:f>IF('Actual vs Budget'!I10="","",'Actual vs Budget'!I10)</x:f>
        <x:v>Awaiting verified actuals</x:v>
      </x:c>
      <x:c r="I10" s="39"/>
      <x:c r="J10" s="39"/>
      <x:c r="K10" s="29"/>
      <x:c r="L10" s="38"/>
    </x:row>
    <x:row r="11" ht="34" customHeight="1">
      <x:c r="A11" s="2" t="n">
        <x:f>IF('Actual vs Budget'!A11="","",'Actual vs Budget'!A11)</x:f>
        <x:v>1</x:v>
      </x:c>
      <x:c r="B11" s="8" t="n">
        <x:f>IF('Actual vs Budget'!B11="","",'Actual vs Budget'!B11)</x:f>
        <x:v>46332.5</x:v>
      </x:c>
      <x:c r="C11" s="2" t="str">
        <x:f>IF('Actual vs Budget'!C11="","",'Actual vs Budget'!C11)</x:f>
        <x:v>Ad views</x:v>
      </x:c>
      <x:c r="D11" s="6" t="str">
        <x:f>IF('Actual vs Budget'!G11="","",'Actual vs Budget'!G11)</x:f>
      </x:c>
      <x:c r="E11" s="36" t="str">
        <x:f>IF('Actual vs Budget'!H11="","",'Actual vs Budget'!H11)</x:f>
      </x:c>
      <x:c r="F11" s="6" t="n">
        <x:f>IF('Actual vs Budget'!E11="","",'Actual vs Budget'!E11)</x:f>
        <x:v>35714</x:v>
      </x:c>
      <x:c r="G11" s="6" t="str">
        <x:f>IF('Actual vs Budget'!F11="","",'Actual vs Budget'!F11)</x:f>
      </x:c>
      <x:c r="H11" s="2" t="str">
        <x:f>IF('Actual vs Budget'!I11="","",'Actual vs Budget'!I11)</x:f>
        <x:v>Awaiting verified actuals</x:v>
      </x:c>
      <x:c r="I11" s="39"/>
      <x:c r="J11" s="39"/>
      <x:c r="K11" s="29"/>
      <x:c r="L11" s="38"/>
    </x:row>
    <x:row r="12" ht="34" customHeight="1">
      <x:c r="A12" s="2" t="n">
        <x:f>IF('Actual vs Budget'!A12="","",'Actual vs Budget'!A12)</x:f>
        <x:v>1</x:v>
      </x:c>
      <x:c r="B12" s="8" t="n">
        <x:f>IF('Actual vs Budget'!B12="","",'Actual vs Budget'!B12)</x:f>
        <x:v>46332.5</x:v>
      </x:c>
      <x:c r="C12" s="2" t="str">
        <x:f>IF('Actual vs Budget'!C12="","",'Actual vs Budget'!C12)</x:f>
        <x:v>Signups</x:v>
      </x:c>
      <x:c r="D12" s="6" t="str">
        <x:f>IF('Actual vs Budget'!G12="","",'Actual vs Budget'!G12)</x:f>
      </x:c>
      <x:c r="E12" s="36" t="str">
        <x:f>IF('Actual vs Budget'!H12="","",'Actual vs Budget'!H12)</x:f>
      </x:c>
      <x:c r="F12" s="6" t="n">
        <x:f>IF('Actual vs Budget'!E12="","",'Actual vs Budget'!E12)</x:f>
        <x:v>54</x:v>
      </x:c>
      <x:c r="G12" s="6" t="str">
        <x:f>IF('Actual vs Budget'!F12="","",'Actual vs Budget'!F12)</x:f>
      </x:c>
      <x:c r="H12" s="2" t="str">
        <x:f>IF('Actual vs Budget'!I12="","",'Actual vs Budget'!I12)</x:f>
        <x:v>Awaiting verified actuals</x:v>
      </x:c>
      <x:c r="I12" s="39"/>
      <x:c r="J12" s="39"/>
      <x:c r="K12" s="29"/>
      <x:c r="L12" s="38"/>
    </x:row>
    <x:row r="13" ht="34" customHeight="1">
      <x:c r="A13" s="2" t="n">
        <x:f>IF('Actual vs Budget'!A13="","",'Actual vs Budget'!A13)</x:f>
        <x:v>1</x:v>
      </x:c>
      <x:c r="B13" s="8" t="n">
        <x:f>IF('Actual vs Budget'!B13="","",'Actual vs Budget'!B13)</x:f>
        <x:v>46332.5</x:v>
      </x:c>
      <x:c r="C13" s="2" t="str">
        <x:f>IF('Actual vs Budget'!C13="","",'Actual vs Budget'!C13)</x:f>
        <x:v>Trials</x:v>
      </x:c>
      <x:c r="D13" s="6" t="str">
        <x:f>IF('Actual vs Budget'!G13="","",'Actual vs Budget'!G13)</x:f>
      </x:c>
      <x:c r="E13" s="36" t="str">
        <x:f>IF('Actual vs Budget'!H13="","",'Actual vs Budget'!H13)</x:f>
      </x:c>
      <x:c r="F13" s="6" t="n">
        <x:f>IF('Actual vs Budget'!E13="","",'Actual vs Budget'!E13)</x:f>
        <x:v>34</x:v>
      </x:c>
      <x:c r="G13" s="6" t="str">
        <x:f>IF('Actual vs Budget'!F13="","",'Actual vs Budget'!F13)</x:f>
      </x:c>
      <x:c r="H13" s="2" t="str">
        <x:f>IF('Actual vs Budget'!I13="","",'Actual vs Budget'!I13)</x:f>
        <x:v>Awaiting verified actuals</x:v>
      </x:c>
      <x:c r="I13" s="39"/>
      <x:c r="J13" s="39"/>
      <x:c r="K13" s="29"/>
      <x:c r="L13" s="38"/>
    </x:row>
    <x:row r="14" ht="34" customHeight="1">
      <x:c r="A14" s="2" t="n">
        <x:f>IF('Actual vs Budget'!A14="","",'Actual vs Budget'!A14)</x:f>
        <x:v>1</x:v>
      </x:c>
      <x:c r="B14" s="8" t="n">
        <x:f>IF('Actual vs Budget'!B14="","",'Actual vs Budget'!B14)</x:f>
        <x:v>46332.5</x:v>
      </x:c>
      <x:c r="C14" s="2" t="str">
        <x:f>IF('Actual vs Budget'!C14="","",'Actual vs Budget'!C14)</x:f>
        <x:v>New paid subs</x:v>
      </x:c>
      <x:c r="D14" s="6" t="str">
        <x:f>IF('Actual vs Budget'!G14="","",'Actual vs Budget'!G14)</x:f>
      </x:c>
      <x:c r="E14" s="36" t="str">
        <x:f>IF('Actual vs Budget'!H14="","",'Actual vs Budget'!H14)</x:f>
      </x:c>
      <x:c r="F14" s="6" t="str">
        <x:f>IF('Actual vs Budget'!E14="","",'Actual vs Budget'!E14)</x:f>
      </x:c>
      <x:c r="G14" s="6" t="str">
        <x:f>IF('Actual vs Budget'!F14="","",'Actual vs Budget'!F14)</x:f>
      </x:c>
      <x:c r="H14" s="2" t="str">
        <x:f>IF('Actual vs Budget'!I14="","",'Actual vs Budget'!I14)</x:f>
        <x:v>Awaiting verified actuals</x:v>
      </x:c>
      <x:c r="I14" s="39"/>
      <x:c r="J14" s="39"/>
      <x:c r="K14" s="29"/>
      <x:c r="L14" s="38"/>
    </x:row>
    <x:row r="15" ht="34" customHeight="1">
      <x:c r="A15" s="2" t="n">
        <x:f>IF('Actual vs Budget'!A15="","",'Actual vs Budget'!A15)</x:f>
        <x:v>1</x:v>
      </x:c>
      <x:c r="B15" s="8" t="n">
        <x:f>IF('Actual vs Budget'!B15="","",'Actual vs Budget'!B15)</x:f>
        <x:v>46332.5</x:v>
      </x:c>
      <x:c r="C15" s="2" t="str">
        <x:f>IF('Actual vs Budget'!C15="","",'Actual vs Budget'!C15)</x:f>
        <x:v>Cost / trial</x:v>
      </x:c>
      <x:c r="D15" s="5" t="str">
        <x:f>IF('Actual vs Budget'!G15="","",'Actual vs Budget'!G15)</x:f>
      </x:c>
      <x:c r="E15" s="36" t="str">
        <x:f>IF('Actual vs Budget'!H15="","",'Actual vs Budget'!H15)</x:f>
      </x:c>
      <x:c r="F15" s="5" t="n">
        <x:f>IF('Actual vs Budget'!E15="","",'Actual vs Budget'!E15)</x:f>
        <x:v>14.81</x:v>
      </x:c>
      <x:c r="G15" s="5" t="str">
        <x:f>IF('Actual vs Budget'!F15="","",'Actual vs Budget'!F15)</x:f>
      </x:c>
      <x:c r="H15" s="2" t="str">
        <x:f>IF('Actual vs Budget'!I15="","",'Actual vs Budget'!I15)</x:f>
        <x:v>Awaiting verified actuals</x:v>
      </x:c>
      <x:c r="I15" s="39"/>
      <x:c r="J15" s="39"/>
      <x:c r="K15" s="29"/>
      <x:c r="L15" s="38"/>
    </x:row>
    <x:row r="16" ht="34" customHeight="1">
      <x:c r="A16" s="2" t="n">
        <x:f>IF('Actual vs Budget'!A16="","",'Actual vs Budget'!A16)</x:f>
        <x:v>1</x:v>
      </x:c>
      <x:c r="B16" s="8" t="n">
        <x:f>IF('Actual vs Budget'!B16="","",'Actual vs Budget'!B16)</x:f>
        <x:v>46332.5</x:v>
      </x:c>
      <x:c r="C16" s="2" t="str">
        <x:f>IF('Actual vs Budget'!C16="","",'Actual vs Budget'!C16)</x:f>
        <x:v>CAC to date</x:v>
      </x:c>
      <x:c r="D16" s="5" t="str">
        <x:f>IF('Actual vs Budget'!G16="","",'Actual vs Budget'!G16)</x:f>
      </x:c>
      <x:c r="E16" s="36" t="str">
        <x:f>IF('Actual vs Budget'!H16="","",'Actual vs Budget'!H16)</x:f>
      </x:c>
      <x:c r="F16" s="5" t="str">
        <x:f>IF('Actual vs Budget'!E16="","",'Actual vs Budget'!E16)</x:f>
      </x:c>
      <x:c r="G16" s="5" t="str">
        <x:f>IF('Actual vs Budget'!F16="","",'Actual vs Budget'!F16)</x:f>
      </x:c>
      <x:c r="H16" s="2" t="str">
        <x:f>IF('Actual vs Budget'!I16="","",'Actual vs Budget'!I16)</x:f>
        <x:v>Awaiting verified actuals</x:v>
      </x:c>
      <x:c r="I16" s="39"/>
      <x:c r="J16" s="39"/>
      <x:c r="K16" s="29"/>
      <x:c r="L16" s="38"/>
    </x:row>
    <x:row r="17" ht="34" customHeight="1">
      <x:c r="A17" s="2" t="n">
        <x:f>IF('Actual vs Budget'!A17="","",'Actual vs Budget'!A17)</x:f>
        <x:v>2</x:v>
      </x:c>
      <x:c r="B17" s="8" t="n">
        <x:f>IF('Actual vs Budget'!B17="","",'Actual vs Budget'!B17)</x:f>
        <x:v>46339.5</x:v>
      </x:c>
      <x:c r="C17" s="2" t="str">
        <x:f>IF('Actual vs Budget'!C17="","",'Actual vs Budget'!C17)</x:f>
        <x:v>Ad spend</x:v>
      </x:c>
      <x:c r="D17" s="5" t="str">
        <x:f>IF('Actual vs Budget'!G17="","",'Actual vs Budget'!G17)</x:f>
      </x:c>
      <x:c r="E17" s="36" t="str">
        <x:f>IF('Actual vs Budget'!H17="","",'Actual vs Budget'!H17)</x:f>
      </x:c>
      <x:c r="F17" s="5" t="n">
        <x:f>IF('Actual vs Budget'!E17="","",'Actual vs Budget'!E17)</x:f>
        <x:v>500</x:v>
      </x:c>
      <x:c r="G17" s="5" t="str">
        <x:f>IF('Actual vs Budget'!F17="","",'Actual vs Budget'!F17)</x:f>
      </x:c>
      <x:c r="H17" s="2" t="str">
        <x:f>IF('Actual vs Budget'!I17="","",'Actual vs Budget'!I17)</x:f>
        <x:v>Awaiting verified actuals</x:v>
      </x:c>
      <x:c r="I17" s="39"/>
      <x:c r="J17" s="39"/>
      <x:c r="K17" s="29"/>
      <x:c r="L17" s="38"/>
    </x:row>
    <x:row r="18" ht="34" customHeight="1">
      <x:c r="A18" s="2" t="n">
        <x:f>IF('Actual vs Budget'!A18="","",'Actual vs Budget'!A18)</x:f>
        <x:v>2</x:v>
      </x:c>
      <x:c r="B18" s="8" t="n">
        <x:f>IF('Actual vs Budget'!B18="","",'Actual vs Budget'!B18)</x:f>
        <x:v>46339.5</x:v>
      </x:c>
      <x:c r="C18" s="2" t="str">
        <x:f>IF('Actual vs Budget'!C18="","",'Actual vs Budget'!C18)</x:f>
        <x:v>Ad views</x:v>
      </x:c>
      <x:c r="D18" s="6" t="str">
        <x:f>IF('Actual vs Budget'!G18="","",'Actual vs Budget'!G18)</x:f>
      </x:c>
      <x:c r="E18" s="36" t="str">
        <x:f>IF('Actual vs Budget'!H18="","",'Actual vs Budget'!H18)</x:f>
      </x:c>
      <x:c r="F18" s="6" t="n">
        <x:f>IF('Actual vs Budget'!E18="","",'Actual vs Budget'!E18)</x:f>
        <x:v>35714</x:v>
      </x:c>
      <x:c r="G18" s="6" t="str">
        <x:f>IF('Actual vs Budget'!F18="","",'Actual vs Budget'!F18)</x:f>
      </x:c>
      <x:c r="H18" s="2" t="str">
        <x:f>IF('Actual vs Budget'!I18="","",'Actual vs Budget'!I18)</x:f>
        <x:v>Awaiting verified actuals</x:v>
      </x:c>
      <x:c r="I18" s="39"/>
      <x:c r="J18" s="39"/>
      <x:c r="K18" s="29"/>
      <x:c r="L18" s="38"/>
    </x:row>
    <x:row r="19" ht="34" customHeight="1">
      <x:c r="A19" s="2" t="n">
        <x:f>IF('Actual vs Budget'!A19="","",'Actual vs Budget'!A19)</x:f>
        <x:v>2</x:v>
      </x:c>
      <x:c r="B19" s="8" t="n">
        <x:f>IF('Actual vs Budget'!B19="","",'Actual vs Budget'!B19)</x:f>
        <x:v>46339.5</x:v>
      </x:c>
      <x:c r="C19" s="2" t="str">
        <x:f>IF('Actual vs Budget'!C19="","",'Actual vs Budget'!C19)</x:f>
        <x:v>Signups</x:v>
      </x:c>
      <x:c r="D19" s="6" t="str">
        <x:f>IF('Actual vs Budget'!G19="","",'Actual vs Budget'!G19)</x:f>
      </x:c>
      <x:c r="E19" s="36" t="str">
        <x:f>IF('Actual vs Budget'!H19="","",'Actual vs Budget'!H19)</x:f>
      </x:c>
      <x:c r="F19" s="6" t="n">
        <x:f>IF('Actual vs Budget'!E19="","",'Actual vs Budget'!E19)</x:f>
        <x:v>54</x:v>
      </x:c>
      <x:c r="G19" s="6" t="str">
        <x:f>IF('Actual vs Budget'!F19="","",'Actual vs Budget'!F19)</x:f>
      </x:c>
      <x:c r="H19" s="2" t="str">
        <x:f>IF('Actual vs Budget'!I19="","",'Actual vs Budget'!I19)</x:f>
        <x:v>Awaiting verified actuals</x:v>
      </x:c>
      <x:c r="I19" s="39"/>
      <x:c r="J19" s="39"/>
      <x:c r="K19" s="29"/>
      <x:c r="L19" s="38"/>
    </x:row>
    <x:row r="20" ht="34" customHeight="1">
      <x:c r="A20" s="2" t="n">
        <x:f>IF('Actual vs Budget'!A20="","",'Actual vs Budget'!A20)</x:f>
        <x:v>2</x:v>
      </x:c>
      <x:c r="B20" s="8" t="n">
        <x:f>IF('Actual vs Budget'!B20="","",'Actual vs Budget'!B20)</x:f>
        <x:v>46339.5</x:v>
      </x:c>
      <x:c r="C20" s="2" t="str">
        <x:f>IF('Actual vs Budget'!C20="","",'Actual vs Budget'!C20)</x:f>
        <x:v>Trials</x:v>
      </x:c>
      <x:c r="D20" s="6" t="str">
        <x:f>IF('Actual vs Budget'!G20="","",'Actual vs Budget'!G20)</x:f>
      </x:c>
      <x:c r="E20" s="36" t="str">
        <x:f>IF('Actual vs Budget'!H20="","",'Actual vs Budget'!H20)</x:f>
      </x:c>
      <x:c r="F20" s="6" t="n">
        <x:f>IF('Actual vs Budget'!E20="","",'Actual vs Budget'!E20)</x:f>
        <x:v>34</x:v>
      </x:c>
      <x:c r="G20" s="6" t="str">
        <x:f>IF('Actual vs Budget'!F20="","",'Actual vs Budget'!F20)</x:f>
      </x:c>
      <x:c r="H20" s="2" t="str">
        <x:f>IF('Actual vs Budget'!I20="","",'Actual vs Budget'!I20)</x:f>
        <x:v>Awaiting verified actuals</x:v>
      </x:c>
      <x:c r="I20" s="39"/>
      <x:c r="J20" s="39"/>
      <x:c r="K20" s="29"/>
      <x:c r="L20" s="38"/>
    </x:row>
    <x:row r="21" ht="34" customHeight="1">
      <x:c r="A21" s="2" t="n">
        <x:f>IF('Actual vs Budget'!A21="","",'Actual vs Budget'!A21)</x:f>
        <x:v>2</x:v>
      </x:c>
      <x:c r="B21" s="8" t="n">
        <x:f>IF('Actual vs Budget'!B21="","",'Actual vs Budget'!B21)</x:f>
        <x:v>46339.5</x:v>
      </x:c>
      <x:c r="C21" s="2" t="str">
        <x:f>IF('Actual vs Budget'!C21="","",'Actual vs Budget'!C21)</x:f>
        <x:v>New paid subs</x:v>
      </x:c>
      <x:c r="D21" s="6" t="str">
        <x:f>IF('Actual vs Budget'!G21="","",'Actual vs Budget'!G21)</x:f>
      </x:c>
      <x:c r="E21" s="36" t="str">
        <x:f>IF('Actual vs Budget'!H21="","",'Actual vs Budget'!H21)</x:f>
      </x:c>
      <x:c r="F21" s="6" t="str">
        <x:f>IF('Actual vs Budget'!E21="","",'Actual vs Budget'!E21)</x:f>
      </x:c>
      <x:c r="G21" s="6" t="str">
        <x:f>IF('Actual vs Budget'!F21="","",'Actual vs Budget'!F21)</x:f>
      </x:c>
      <x:c r="H21" s="2" t="str">
        <x:f>IF('Actual vs Budget'!I21="","",'Actual vs Budget'!I21)</x:f>
        <x:v>Awaiting verified actuals</x:v>
      </x:c>
      <x:c r="I21" s="39"/>
      <x:c r="J21" s="39"/>
      <x:c r="K21" s="29"/>
      <x:c r="L21" s="38"/>
    </x:row>
    <x:row r="22" ht="34" customHeight="1">
      <x:c r="A22" s="2" t="n">
        <x:f>IF('Actual vs Budget'!A22="","",'Actual vs Budget'!A22)</x:f>
        <x:v>2</x:v>
      </x:c>
      <x:c r="B22" s="8" t="n">
        <x:f>IF('Actual vs Budget'!B22="","",'Actual vs Budget'!B22)</x:f>
        <x:v>46339.5</x:v>
      </x:c>
      <x:c r="C22" s="2" t="str">
        <x:f>IF('Actual vs Budget'!C22="","",'Actual vs Budget'!C22)</x:f>
        <x:v>Cost / trial</x:v>
      </x:c>
      <x:c r="D22" s="5" t="str">
        <x:f>IF('Actual vs Budget'!G22="","",'Actual vs Budget'!G22)</x:f>
      </x:c>
      <x:c r="E22" s="36" t="str">
        <x:f>IF('Actual vs Budget'!H22="","",'Actual vs Budget'!H22)</x:f>
      </x:c>
      <x:c r="F22" s="5" t="n">
        <x:f>IF('Actual vs Budget'!E22="","",'Actual vs Budget'!E22)</x:f>
        <x:v>14.81</x:v>
      </x:c>
      <x:c r="G22" s="5" t="str">
        <x:f>IF('Actual vs Budget'!F22="","",'Actual vs Budget'!F22)</x:f>
      </x:c>
      <x:c r="H22" s="2" t="str">
        <x:f>IF('Actual vs Budget'!I22="","",'Actual vs Budget'!I22)</x:f>
        <x:v>Awaiting verified actuals</x:v>
      </x:c>
      <x:c r="I22" s="39"/>
      <x:c r="J22" s="39"/>
      <x:c r="K22" s="29"/>
      <x:c r="L22" s="38"/>
    </x:row>
    <x:row r="23" ht="34" customHeight="1">
      <x:c r="A23" s="2" t="n">
        <x:f>IF('Actual vs Budget'!A23="","",'Actual vs Budget'!A23)</x:f>
        <x:v>2</x:v>
      </x:c>
      <x:c r="B23" s="8" t="n">
        <x:f>IF('Actual vs Budget'!B23="","",'Actual vs Budget'!B23)</x:f>
        <x:v>46339.5</x:v>
      </x:c>
      <x:c r="C23" s="2" t="str">
        <x:f>IF('Actual vs Budget'!C23="","",'Actual vs Budget'!C23)</x:f>
        <x:v>CAC to date</x:v>
      </x:c>
      <x:c r="D23" s="5" t="str">
        <x:f>IF('Actual vs Budget'!G23="","",'Actual vs Budget'!G23)</x:f>
      </x:c>
      <x:c r="E23" s="36" t="str">
        <x:f>IF('Actual vs Budget'!H23="","",'Actual vs Budget'!H23)</x:f>
      </x:c>
      <x:c r="F23" s="5" t="str">
        <x:f>IF('Actual vs Budget'!E23="","",'Actual vs Budget'!E23)</x:f>
      </x:c>
      <x:c r="G23" s="5" t="str">
        <x:f>IF('Actual vs Budget'!F23="","",'Actual vs Budget'!F23)</x:f>
      </x:c>
      <x:c r="H23" s="2" t="str">
        <x:f>IF('Actual vs Budget'!I23="","",'Actual vs Budget'!I23)</x:f>
        <x:v>Awaiting verified actuals</x:v>
      </x:c>
      <x:c r="I23" s="39"/>
      <x:c r="J23" s="39"/>
      <x:c r="K23" s="29"/>
      <x:c r="L23" s="38"/>
    </x:row>
    <x:row r="24" ht="34" customHeight="1">
      <x:c r="A24" s="2" t="n">
        <x:f>IF('Actual vs Budget'!A24="","",'Actual vs Budget'!A24)</x:f>
        <x:v>3</x:v>
      </x:c>
      <x:c r="B24" s="8" t="n">
        <x:f>IF('Actual vs Budget'!B24="","",'Actual vs Budget'!B24)</x:f>
        <x:v>46346.5</x:v>
      </x:c>
      <x:c r="C24" s="2" t="str">
        <x:f>IF('Actual vs Budget'!C24="","",'Actual vs Budget'!C24)</x:f>
        <x:v>Ad spend</x:v>
      </x:c>
      <x:c r="D24" s="5" t="str">
        <x:f>IF('Actual vs Budget'!G24="","",'Actual vs Budget'!G24)</x:f>
      </x:c>
      <x:c r="E24" s="36" t="str">
        <x:f>IF('Actual vs Budget'!H24="","",'Actual vs Budget'!H24)</x:f>
      </x:c>
      <x:c r="F24" s="5" t="n">
        <x:f>IF('Actual vs Budget'!E24="","",'Actual vs Budget'!E24)</x:f>
        <x:v>700</x:v>
      </x:c>
      <x:c r="G24" s="5" t="str">
        <x:f>IF('Actual vs Budget'!F24="","",'Actual vs Budget'!F24)</x:f>
      </x:c>
      <x:c r="H24" s="2" t="str">
        <x:f>IF('Actual vs Budget'!I24="","",'Actual vs Budget'!I24)</x:f>
        <x:v>Awaiting verified actuals</x:v>
      </x:c>
      <x:c r="I24" s="39"/>
      <x:c r="J24" s="39"/>
      <x:c r="K24" s="29"/>
      <x:c r="L24" s="38"/>
    </x:row>
    <x:row r="25" ht="34" customHeight="1">
      <x:c r="A25" s="2" t="n">
        <x:f>IF('Actual vs Budget'!A25="","",'Actual vs Budget'!A25)</x:f>
        <x:v>3</x:v>
      </x:c>
      <x:c r="B25" s="8" t="n">
        <x:f>IF('Actual vs Budget'!B25="","",'Actual vs Budget'!B25)</x:f>
        <x:v>46346.5</x:v>
      </x:c>
      <x:c r="C25" s="2" t="str">
        <x:f>IF('Actual vs Budget'!C25="","",'Actual vs Budget'!C25)</x:f>
        <x:v>Ad views</x:v>
      </x:c>
      <x:c r="D25" s="6" t="str">
        <x:f>IF('Actual vs Budget'!G25="","",'Actual vs Budget'!G25)</x:f>
      </x:c>
      <x:c r="E25" s="36" t="str">
        <x:f>IF('Actual vs Budget'!H25="","",'Actual vs Budget'!H25)</x:f>
      </x:c>
      <x:c r="F25" s="6" t="n">
        <x:f>IF('Actual vs Budget'!E25="","",'Actual vs Budget'!E25)</x:f>
        <x:v>50000</x:v>
      </x:c>
      <x:c r="G25" s="6" t="str">
        <x:f>IF('Actual vs Budget'!F25="","",'Actual vs Budget'!F25)</x:f>
      </x:c>
      <x:c r="H25" s="2" t="str">
        <x:f>IF('Actual vs Budget'!I25="","",'Actual vs Budget'!I25)</x:f>
        <x:v>Awaiting verified actuals</x:v>
      </x:c>
      <x:c r="I25" s="39"/>
      <x:c r="J25" s="39"/>
      <x:c r="K25" s="29"/>
      <x:c r="L25" s="38"/>
    </x:row>
    <x:row r="26" ht="34" customHeight="1">
      <x:c r="A26" s="2" t="n">
        <x:f>IF('Actual vs Budget'!A26="","",'Actual vs Budget'!A26)</x:f>
        <x:v>3</x:v>
      </x:c>
      <x:c r="B26" s="8" t="n">
        <x:f>IF('Actual vs Budget'!B26="","",'Actual vs Budget'!B26)</x:f>
        <x:v>46346.5</x:v>
      </x:c>
      <x:c r="C26" s="2" t="str">
        <x:f>IF('Actual vs Budget'!C26="","",'Actual vs Budget'!C26)</x:f>
        <x:v>Signups</x:v>
      </x:c>
      <x:c r="D26" s="6" t="str">
        <x:f>IF('Actual vs Budget'!G26="","",'Actual vs Budget'!G26)</x:f>
      </x:c>
      <x:c r="E26" s="36" t="str">
        <x:f>IF('Actual vs Budget'!H26="","",'Actual vs Budget'!H26)</x:f>
      </x:c>
      <x:c r="F26" s="6" t="n">
        <x:f>IF('Actual vs Budget'!E26="","",'Actual vs Budget'!E26)</x:f>
        <x:v>75</x:v>
      </x:c>
      <x:c r="G26" s="6" t="str">
        <x:f>IF('Actual vs Budget'!F26="","",'Actual vs Budget'!F26)</x:f>
      </x:c>
      <x:c r="H26" s="2" t="str">
        <x:f>IF('Actual vs Budget'!I26="","",'Actual vs Budget'!I26)</x:f>
        <x:v>Awaiting verified actuals</x:v>
      </x:c>
      <x:c r="I26" s="39"/>
      <x:c r="J26" s="39"/>
      <x:c r="K26" s="29"/>
      <x:c r="L26" s="38"/>
    </x:row>
    <x:row r="27" ht="34" customHeight="1">
      <x:c r="A27" s="2" t="n">
        <x:f>IF('Actual vs Budget'!A27="","",'Actual vs Budget'!A27)</x:f>
        <x:v>3</x:v>
      </x:c>
      <x:c r="B27" s="8" t="n">
        <x:f>IF('Actual vs Budget'!B27="","",'Actual vs Budget'!B27)</x:f>
        <x:v>46346.5</x:v>
      </x:c>
      <x:c r="C27" s="2" t="str">
        <x:f>IF('Actual vs Budget'!C27="","",'Actual vs Budget'!C27)</x:f>
        <x:v>Trials</x:v>
      </x:c>
      <x:c r="D27" s="6" t="str">
        <x:f>IF('Actual vs Budget'!G27="","",'Actual vs Budget'!G27)</x:f>
      </x:c>
      <x:c r="E27" s="36" t="str">
        <x:f>IF('Actual vs Budget'!H27="","",'Actual vs Budget'!H27)</x:f>
      </x:c>
      <x:c r="F27" s="6" t="n">
        <x:f>IF('Actual vs Budget'!E27="","",'Actual vs Budget'!E27)</x:f>
        <x:v>47</x:v>
      </x:c>
      <x:c r="G27" s="6" t="str">
        <x:f>IF('Actual vs Budget'!F27="","",'Actual vs Budget'!F27)</x:f>
      </x:c>
      <x:c r="H27" s="2" t="str">
        <x:f>IF('Actual vs Budget'!I27="","",'Actual vs Budget'!I27)</x:f>
        <x:v>Awaiting verified actuals</x:v>
      </x:c>
      <x:c r="I27" s="39"/>
      <x:c r="J27" s="39"/>
      <x:c r="K27" s="29"/>
      <x:c r="L27" s="38"/>
    </x:row>
    <x:row r="28" ht="34" customHeight="1">
      <x:c r="A28" s="2" t="n">
        <x:f>IF('Actual vs Budget'!A28="","",'Actual vs Budget'!A28)</x:f>
        <x:v>3</x:v>
      </x:c>
      <x:c r="B28" s="8" t="n">
        <x:f>IF('Actual vs Budget'!B28="","",'Actual vs Budget'!B28)</x:f>
        <x:v>46346.5</x:v>
      </x:c>
      <x:c r="C28" s="2" t="str">
        <x:f>IF('Actual vs Budget'!C28="","",'Actual vs Budget'!C28)</x:f>
        <x:v>New paid subs</x:v>
      </x:c>
      <x:c r="D28" s="6" t="str">
        <x:f>IF('Actual vs Budget'!G28="","",'Actual vs Budget'!G28)</x:f>
      </x:c>
      <x:c r="E28" s="36" t="str">
        <x:f>IF('Actual vs Budget'!H28="","",'Actual vs Budget'!H28)</x:f>
      </x:c>
      <x:c r="F28" s="6" t="n">
        <x:f>IF('Actual vs Budget'!E28="","",'Actual vs Budget'!E28)</x:f>
        <x:v>17</x:v>
      </x:c>
      <x:c r="G28" s="6" t="str">
        <x:f>IF('Actual vs Budget'!F28="","",'Actual vs Budget'!F28)</x:f>
      </x:c>
      <x:c r="H28" s="2" t="str">
        <x:f>IF('Actual vs Budget'!I28="","",'Actual vs Budget'!I28)</x:f>
        <x:v>Awaiting verified actuals</x:v>
      </x:c>
      <x:c r="I28" s="39"/>
      <x:c r="J28" s="39"/>
      <x:c r="K28" s="29"/>
      <x:c r="L28" s="38"/>
    </x:row>
    <x:row r="29" ht="34" customHeight="1">
      <x:c r="A29" s="2" t="n">
        <x:f>IF('Actual vs Budget'!A29="","",'Actual vs Budget'!A29)</x:f>
        <x:v>3</x:v>
      </x:c>
      <x:c r="B29" s="8" t="n">
        <x:f>IF('Actual vs Budget'!B29="","",'Actual vs Budget'!B29)</x:f>
        <x:v>46346.5</x:v>
      </x:c>
      <x:c r="C29" s="2" t="str">
        <x:f>IF('Actual vs Budget'!C29="","",'Actual vs Budget'!C29)</x:f>
        <x:v>Cost / trial</x:v>
      </x:c>
      <x:c r="D29" s="5" t="str">
        <x:f>IF('Actual vs Budget'!G29="","",'Actual vs Budget'!G29)</x:f>
      </x:c>
      <x:c r="E29" s="36" t="str">
        <x:f>IF('Actual vs Budget'!H29="","",'Actual vs Budget'!H29)</x:f>
      </x:c>
      <x:c r="F29" s="5" t="n">
        <x:f>IF('Actual vs Budget'!E29="","",'Actual vs Budget'!E29)</x:f>
        <x:v>14.81</x:v>
      </x:c>
      <x:c r="G29" s="5" t="str">
        <x:f>IF('Actual vs Budget'!F29="","",'Actual vs Budget'!F29)</x:f>
      </x:c>
      <x:c r="H29" s="2" t="str">
        <x:f>IF('Actual vs Budget'!I29="","",'Actual vs Budget'!I29)</x:f>
        <x:v>Awaiting verified actuals</x:v>
      </x:c>
      <x:c r="I29" s="39"/>
      <x:c r="J29" s="39"/>
      <x:c r="K29" s="29"/>
      <x:c r="L29" s="38"/>
    </x:row>
    <x:row r="30" ht="34" customHeight="1">
      <x:c r="A30" s="2" t="n">
        <x:f>IF('Actual vs Budget'!A30="","",'Actual vs Budget'!A30)</x:f>
        <x:v>3</x:v>
      </x:c>
      <x:c r="B30" s="8" t="n">
        <x:f>IF('Actual vs Budget'!B30="","",'Actual vs Budget'!B30)</x:f>
        <x:v>46346.5</x:v>
      </x:c>
      <x:c r="C30" s="2" t="str">
        <x:f>IF('Actual vs Budget'!C30="","",'Actual vs Budget'!C30)</x:f>
        <x:v>CAC to date</x:v>
      </x:c>
      <x:c r="D30" s="5" t="str">
        <x:f>IF('Actual vs Budget'!G30="","",'Actual vs Budget'!G30)</x:f>
      </x:c>
      <x:c r="E30" s="36" t="str">
        <x:f>IF('Actual vs Budget'!H30="","",'Actual vs Budget'!H30)</x:f>
      </x:c>
      <x:c r="F30" s="5" t="n">
        <x:f>IF('Actual vs Budget'!E30="","",'Actual vs Budget'!E30)</x:f>
        <x:v>100.74</x:v>
      </x:c>
      <x:c r="G30" s="5" t="str">
        <x:f>IF('Actual vs Budget'!F30="","",'Actual vs Budget'!F30)</x:f>
      </x:c>
      <x:c r="H30" s="2" t="str">
        <x:f>IF('Actual vs Budget'!I30="","",'Actual vs Budget'!I30)</x:f>
        <x:v>Awaiting verified actuals</x:v>
      </x:c>
      <x:c r="I30" s="39"/>
      <x:c r="J30" s="39"/>
      <x:c r="K30" s="29"/>
      <x:c r="L30" s="38"/>
    </x:row>
    <x:row r="31" ht="34" customHeight="1">
      <x:c r="A31" s="2" t="n">
        <x:f>IF('Actual vs Budget'!A31="","",'Actual vs Budget'!A31)</x:f>
        <x:v>4</x:v>
      </x:c>
      <x:c r="B31" s="8" t="n">
        <x:f>IF('Actual vs Budget'!B31="","",'Actual vs Budget'!B31)</x:f>
        <x:v>46353.5</x:v>
      </x:c>
      <x:c r="C31" s="2" t="str">
        <x:f>IF('Actual vs Budget'!C31="","",'Actual vs Budget'!C31)</x:f>
        <x:v>Ad spend</x:v>
      </x:c>
      <x:c r="D31" s="5" t="str">
        <x:f>IF('Actual vs Budget'!G31="","",'Actual vs Budget'!G31)</x:f>
      </x:c>
      <x:c r="E31" s="36" t="str">
        <x:f>IF('Actual vs Budget'!H31="","",'Actual vs Budget'!H31)</x:f>
      </x:c>
      <x:c r="F31" s="5" t="n">
        <x:f>IF('Actual vs Budget'!E31="","",'Actual vs Budget'!E31)</x:f>
        <x:v>700</x:v>
      </x:c>
      <x:c r="G31" s="5" t="str">
        <x:f>IF('Actual vs Budget'!F31="","",'Actual vs Budget'!F31)</x:f>
      </x:c>
      <x:c r="H31" s="2" t="str">
        <x:f>IF('Actual vs Budget'!I31="","",'Actual vs Budget'!I31)</x:f>
        <x:v>Awaiting verified actuals</x:v>
      </x:c>
      <x:c r="I31" s="39"/>
      <x:c r="J31" s="39"/>
      <x:c r="K31" s="29"/>
      <x:c r="L31" s="38"/>
    </x:row>
    <x:row r="32" ht="34" customHeight="1">
      <x:c r="A32" s="2" t="n">
        <x:f>IF('Actual vs Budget'!A32="","",'Actual vs Budget'!A32)</x:f>
        <x:v>4</x:v>
      </x:c>
      <x:c r="B32" s="8" t="n">
        <x:f>IF('Actual vs Budget'!B32="","",'Actual vs Budget'!B32)</x:f>
        <x:v>46353.5</x:v>
      </x:c>
      <x:c r="C32" s="2" t="str">
        <x:f>IF('Actual vs Budget'!C32="","",'Actual vs Budget'!C32)</x:f>
        <x:v>Ad views</x:v>
      </x:c>
      <x:c r="D32" s="6" t="str">
        <x:f>IF('Actual vs Budget'!G32="","",'Actual vs Budget'!G32)</x:f>
      </x:c>
      <x:c r="E32" s="36" t="str">
        <x:f>IF('Actual vs Budget'!H32="","",'Actual vs Budget'!H32)</x:f>
      </x:c>
      <x:c r="F32" s="6" t="n">
        <x:f>IF('Actual vs Budget'!E32="","",'Actual vs Budget'!E32)</x:f>
        <x:v>50000</x:v>
      </x:c>
      <x:c r="G32" s="6" t="str">
        <x:f>IF('Actual vs Budget'!F32="","",'Actual vs Budget'!F32)</x:f>
      </x:c>
      <x:c r="H32" s="2" t="str">
        <x:f>IF('Actual vs Budget'!I32="","",'Actual vs Budget'!I32)</x:f>
        <x:v>Awaiting verified actuals</x:v>
      </x:c>
      <x:c r="I32" s="39"/>
      <x:c r="J32" s="39"/>
      <x:c r="K32" s="29"/>
      <x:c r="L32" s="38"/>
    </x:row>
    <x:row r="33" ht="34" customHeight="1">
      <x:c r="A33" s="2" t="n">
        <x:f>IF('Actual vs Budget'!A33="","",'Actual vs Budget'!A33)</x:f>
        <x:v>4</x:v>
      </x:c>
      <x:c r="B33" s="8" t="n">
        <x:f>IF('Actual vs Budget'!B33="","",'Actual vs Budget'!B33)</x:f>
        <x:v>46353.5</x:v>
      </x:c>
      <x:c r="C33" s="2" t="str">
        <x:f>IF('Actual vs Budget'!C33="","",'Actual vs Budget'!C33)</x:f>
        <x:v>Signups</x:v>
      </x:c>
      <x:c r="D33" s="6" t="str">
        <x:f>IF('Actual vs Budget'!G33="","",'Actual vs Budget'!G33)</x:f>
      </x:c>
      <x:c r="E33" s="36" t="str">
        <x:f>IF('Actual vs Budget'!H33="","",'Actual vs Budget'!H33)</x:f>
      </x:c>
      <x:c r="F33" s="6" t="n">
        <x:f>IF('Actual vs Budget'!E33="","",'Actual vs Budget'!E33)</x:f>
        <x:v>75</x:v>
      </x:c>
      <x:c r="G33" s="6" t="str">
        <x:f>IF('Actual vs Budget'!F33="","",'Actual vs Budget'!F33)</x:f>
      </x:c>
      <x:c r="H33" s="2" t="str">
        <x:f>IF('Actual vs Budget'!I33="","",'Actual vs Budget'!I33)</x:f>
        <x:v>Awaiting verified actuals</x:v>
      </x:c>
      <x:c r="I33" s="39"/>
      <x:c r="J33" s="39"/>
      <x:c r="K33" s="29"/>
      <x:c r="L33" s="38"/>
    </x:row>
    <x:row r="34" ht="34" customHeight="1">
      <x:c r="A34" s="2" t="n">
        <x:f>IF('Actual vs Budget'!A34="","",'Actual vs Budget'!A34)</x:f>
        <x:v>4</x:v>
      </x:c>
      <x:c r="B34" s="8" t="n">
        <x:f>IF('Actual vs Budget'!B34="","",'Actual vs Budget'!B34)</x:f>
        <x:v>46353.5</x:v>
      </x:c>
      <x:c r="C34" s="2" t="str">
        <x:f>IF('Actual vs Budget'!C34="","",'Actual vs Budget'!C34)</x:f>
        <x:v>Trials</x:v>
      </x:c>
      <x:c r="D34" s="6" t="str">
        <x:f>IF('Actual vs Budget'!G34="","",'Actual vs Budget'!G34)</x:f>
      </x:c>
      <x:c r="E34" s="36" t="str">
        <x:f>IF('Actual vs Budget'!H34="","",'Actual vs Budget'!H34)</x:f>
      </x:c>
      <x:c r="F34" s="6" t="n">
        <x:f>IF('Actual vs Budget'!E34="","",'Actual vs Budget'!E34)</x:f>
        <x:v>47</x:v>
      </x:c>
      <x:c r="G34" s="6" t="str">
        <x:f>IF('Actual vs Budget'!F34="","",'Actual vs Budget'!F34)</x:f>
      </x:c>
      <x:c r="H34" s="2" t="str">
        <x:f>IF('Actual vs Budget'!I34="","",'Actual vs Budget'!I34)</x:f>
        <x:v>Awaiting verified actuals</x:v>
      </x:c>
      <x:c r="I34" s="39"/>
      <x:c r="J34" s="39"/>
      <x:c r="K34" s="29"/>
      <x:c r="L34" s="38"/>
    </x:row>
    <x:row r="35" ht="34" customHeight="1">
      <x:c r="A35" s="2" t="n">
        <x:f>IF('Actual vs Budget'!A35="","",'Actual vs Budget'!A35)</x:f>
        <x:v>4</x:v>
      </x:c>
      <x:c r="B35" s="8" t="n">
        <x:f>IF('Actual vs Budget'!B35="","",'Actual vs Budget'!B35)</x:f>
        <x:v>46353.5</x:v>
      </x:c>
      <x:c r="C35" s="2" t="str">
        <x:f>IF('Actual vs Budget'!C35="","",'Actual vs Budget'!C35)</x:f>
        <x:v>New paid subs</x:v>
      </x:c>
      <x:c r="D35" s="6" t="str">
        <x:f>IF('Actual vs Budget'!G35="","",'Actual vs Budget'!G35)</x:f>
      </x:c>
      <x:c r="E35" s="36" t="str">
        <x:f>IF('Actual vs Budget'!H35="","",'Actual vs Budget'!H35)</x:f>
      </x:c>
      <x:c r="F35" s="6" t="n">
        <x:f>IF('Actual vs Budget'!E35="","",'Actual vs Budget'!E35)</x:f>
        <x:v>17</x:v>
      </x:c>
      <x:c r="G35" s="6" t="str">
        <x:f>IF('Actual vs Budget'!F35="","",'Actual vs Budget'!F35)</x:f>
      </x:c>
      <x:c r="H35" s="2" t="str">
        <x:f>IF('Actual vs Budget'!I35="","",'Actual vs Budget'!I35)</x:f>
        <x:v>Awaiting verified actuals</x:v>
      </x:c>
      <x:c r="I35" s="39"/>
      <x:c r="J35" s="39"/>
      <x:c r="K35" s="29"/>
      <x:c r="L35" s="38"/>
    </x:row>
    <x:row r="36" ht="34" customHeight="1">
      <x:c r="A36" s="2" t="n">
        <x:f>IF('Actual vs Budget'!A36="","",'Actual vs Budget'!A36)</x:f>
        <x:v>4</x:v>
      </x:c>
      <x:c r="B36" s="8" t="n">
        <x:f>IF('Actual vs Budget'!B36="","",'Actual vs Budget'!B36)</x:f>
        <x:v>46353.5</x:v>
      </x:c>
      <x:c r="C36" s="2" t="str">
        <x:f>IF('Actual vs Budget'!C36="","",'Actual vs Budget'!C36)</x:f>
        <x:v>Cost / trial</x:v>
      </x:c>
      <x:c r="D36" s="5" t="str">
        <x:f>IF('Actual vs Budget'!G36="","",'Actual vs Budget'!G36)</x:f>
      </x:c>
      <x:c r="E36" s="36" t="str">
        <x:f>IF('Actual vs Budget'!H36="","",'Actual vs Budget'!H36)</x:f>
      </x:c>
      <x:c r="F36" s="5" t="n">
        <x:f>IF('Actual vs Budget'!E36="","",'Actual vs Budget'!E36)</x:f>
        <x:v>14.81</x:v>
      </x:c>
      <x:c r="G36" s="5" t="str">
        <x:f>IF('Actual vs Budget'!F36="","",'Actual vs Budget'!F36)</x:f>
      </x:c>
      <x:c r="H36" s="2" t="str">
        <x:f>IF('Actual vs Budget'!I36="","",'Actual vs Budget'!I36)</x:f>
        <x:v>Awaiting verified actuals</x:v>
      </x:c>
      <x:c r="I36" s="39"/>
      <x:c r="J36" s="39"/>
      <x:c r="K36" s="29"/>
      <x:c r="L36" s="38"/>
    </x:row>
    <x:row r="37" ht="34" customHeight="1">
      <x:c r="A37" s="2" t="n">
        <x:f>IF('Actual vs Budget'!A37="","",'Actual vs Budget'!A37)</x:f>
        <x:v>4</x:v>
      </x:c>
      <x:c r="B37" s="8" t="n">
        <x:f>IF('Actual vs Budget'!B37="","",'Actual vs Budget'!B37)</x:f>
        <x:v>46353.5</x:v>
      </x:c>
      <x:c r="C37" s="2" t="str">
        <x:f>IF('Actual vs Budget'!C37="","",'Actual vs Budget'!C37)</x:f>
        <x:v>CAC to date</x:v>
      </x:c>
      <x:c r="D37" s="5" t="str">
        <x:f>IF('Actual vs Budget'!G37="","",'Actual vs Budget'!G37)</x:f>
      </x:c>
      <x:c r="E37" s="36" t="str">
        <x:f>IF('Actual vs Budget'!H37="","",'Actual vs Budget'!H37)</x:f>
      </x:c>
      <x:c r="F37" s="5" t="n">
        <x:f>IF('Actual vs Budget'!E37="","",'Actual vs Budget'!E37)</x:f>
        <x:v>71.11</x:v>
      </x:c>
      <x:c r="G37" s="5" t="str">
        <x:f>IF('Actual vs Budget'!F37="","",'Actual vs Budget'!F37)</x:f>
      </x:c>
      <x:c r="H37" s="2" t="str">
        <x:f>IF('Actual vs Budget'!I37="","",'Actual vs Budget'!I37)</x:f>
        <x:v>Awaiting verified actuals</x:v>
      </x:c>
      <x:c r="I37" s="39"/>
      <x:c r="J37" s="39"/>
      <x:c r="K37" s="29"/>
      <x:c r="L37" s="38"/>
    </x:row>
    <x:row r="38" ht="34" customHeight="1">
      <x:c r="A38" s="2" t="n">
        <x:f>IF('Actual vs Budget'!A38="","",'Actual vs Budget'!A38)</x:f>
        <x:v>5</x:v>
      </x:c>
      <x:c r="B38" s="8" t="n">
        <x:f>IF('Actual vs Budget'!B38="","",'Actual vs Budget'!B38)</x:f>
        <x:v>46360.5</x:v>
      </x:c>
      <x:c r="C38" s="2" t="str">
        <x:f>IF('Actual vs Budget'!C38="","",'Actual vs Budget'!C38)</x:f>
        <x:v>Ad spend</x:v>
      </x:c>
      <x:c r="D38" s="5" t="str">
        <x:f>IF('Actual vs Budget'!G38="","",'Actual vs Budget'!G38)</x:f>
      </x:c>
      <x:c r="E38" s="36" t="str">
        <x:f>IF('Actual vs Budget'!H38="","",'Actual vs Budget'!H38)</x:f>
      </x:c>
      <x:c r="F38" s="5" t="n">
        <x:f>IF('Actual vs Budget'!E38="","",'Actual vs Budget'!E38)</x:f>
        <x:v>800</x:v>
      </x:c>
      <x:c r="G38" s="5" t="str">
        <x:f>IF('Actual vs Budget'!F38="","",'Actual vs Budget'!F38)</x:f>
      </x:c>
      <x:c r="H38" s="2" t="str">
        <x:f>IF('Actual vs Budget'!I38="","",'Actual vs Budget'!I38)</x:f>
        <x:v>Awaiting verified actuals</x:v>
      </x:c>
      <x:c r="I38" s="39"/>
      <x:c r="J38" s="39"/>
      <x:c r="K38" s="29"/>
      <x:c r="L38" s="38"/>
    </x:row>
    <x:row r="39" ht="34" customHeight="1">
      <x:c r="A39" s="2" t="n">
        <x:f>IF('Actual vs Budget'!A39="","",'Actual vs Budget'!A39)</x:f>
        <x:v>5</x:v>
      </x:c>
      <x:c r="B39" s="8" t="n">
        <x:f>IF('Actual vs Budget'!B39="","",'Actual vs Budget'!B39)</x:f>
        <x:v>46360.5</x:v>
      </x:c>
      <x:c r="C39" s="2" t="str">
        <x:f>IF('Actual vs Budget'!C39="","",'Actual vs Budget'!C39)</x:f>
        <x:v>Ad views</x:v>
      </x:c>
      <x:c r="D39" s="6" t="str">
        <x:f>IF('Actual vs Budget'!G39="","",'Actual vs Budget'!G39)</x:f>
      </x:c>
      <x:c r="E39" s="36" t="str">
        <x:f>IF('Actual vs Budget'!H39="","",'Actual vs Budget'!H39)</x:f>
      </x:c>
      <x:c r="F39" s="6" t="n">
        <x:f>IF('Actual vs Budget'!E39="","",'Actual vs Budget'!E39)</x:f>
        <x:v>57143</x:v>
      </x:c>
      <x:c r="G39" s="6" t="str">
        <x:f>IF('Actual vs Budget'!F39="","",'Actual vs Budget'!F39)</x:f>
      </x:c>
      <x:c r="H39" s="2" t="str">
        <x:f>IF('Actual vs Budget'!I39="","",'Actual vs Budget'!I39)</x:f>
        <x:v>Awaiting verified actuals</x:v>
      </x:c>
      <x:c r="I39" s="39"/>
      <x:c r="J39" s="39"/>
      <x:c r="K39" s="29"/>
      <x:c r="L39" s="38"/>
    </x:row>
    <x:row r="40" ht="34" customHeight="1">
      <x:c r="A40" s="2" t="n">
        <x:f>IF('Actual vs Budget'!A40="","",'Actual vs Budget'!A40)</x:f>
        <x:v>5</x:v>
      </x:c>
      <x:c r="B40" s="8" t="n">
        <x:f>IF('Actual vs Budget'!B40="","",'Actual vs Budget'!B40)</x:f>
        <x:v>46360.5</x:v>
      </x:c>
      <x:c r="C40" s="2" t="str">
        <x:f>IF('Actual vs Budget'!C40="","",'Actual vs Budget'!C40)</x:f>
        <x:v>Signups</x:v>
      </x:c>
      <x:c r="D40" s="6" t="str">
        <x:f>IF('Actual vs Budget'!G40="","",'Actual vs Budget'!G40)</x:f>
      </x:c>
      <x:c r="E40" s="36" t="str">
        <x:f>IF('Actual vs Budget'!H40="","",'Actual vs Budget'!H40)</x:f>
      </x:c>
      <x:c r="F40" s="6" t="n">
        <x:f>IF('Actual vs Budget'!E40="","",'Actual vs Budget'!E40)</x:f>
        <x:v>86</x:v>
      </x:c>
      <x:c r="G40" s="6" t="str">
        <x:f>IF('Actual vs Budget'!F40="","",'Actual vs Budget'!F40)</x:f>
      </x:c>
      <x:c r="H40" s="2" t="str">
        <x:f>IF('Actual vs Budget'!I40="","",'Actual vs Budget'!I40)</x:f>
        <x:v>Awaiting verified actuals</x:v>
      </x:c>
      <x:c r="I40" s="39"/>
      <x:c r="J40" s="39"/>
      <x:c r="K40" s="29"/>
      <x:c r="L40" s="38"/>
    </x:row>
    <x:row r="41" ht="34" customHeight="1">
      <x:c r="A41" s="2" t="n">
        <x:f>IF('Actual vs Budget'!A41="","",'Actual vs Budget'!A41)</x:f>
        <x:v>5</x:v>
      </x:c>
      <x:c r="B41" s="8" t="n">
        <x:f>IF('Actual vs Budget'!B41="","",'Actual vs Budget'!B41)</x:f>
        <x:v>46360.5</x:v>
      </x:c>
      <x:c r="C41" s="2" t="str">
        <x:f>IF('Actual vs Budget'!C41="","",'Actual vs Budget'!C41)</x:f>
        <x:v>Trials</x:v>
      </x:c>
      <x:c r="D41" s="6" t="str">
        <x:f>IF('Actual vs Budget'!G41="","",'Actual vs Budget'!G41)</x:f>
      </x:c>
      <x:c r="E41" s="36" t="str">
        <x:f>IF('Actual vs Budget'!H41="","",'Actual vs Budget'!H41)</x:f>
      </x:c>
      <x:c r="F41" s="6" t="n">
        <x:f>IF('Actual vs Budget'!E41="","",'Actual vs Budget'!E41)</x:f>
        <x:v>54</x:v>
      </x:c>
      <x:c r="G41" s="6" t="str">
        <x:f>IF('Actual vs Budget'!F41="","",'Actual vs Budget'!F41)</x:f>
      </x:c>
      <x:c r="H41" s="2" t="str">
        <x:f>IF('Actual vs Budget'!I41="","",'Actual vs Budget'!I41)</x:f>
        <x:v>Awaiting verified actuals</x:v>
      </x:c>
      <x:c r="I41" s="39"/>
      <x:c r="J41" s="39"/>
      <x:c r="K41" s="29"/>
      <x:c r="L41" s="38"/>
    </x:row>
    <x:row r="42" ht="34" customHeight="1">
      <x:c r="A42" s="2" t="n">
        <x:f>IF('Actual vs Budget'!A42="","",'Actual vs Budget'!A42)</x:f>
        <x:v>5</x:v>
      </x:c>
      <x:c r="B42" s="8" t="n">
        <x:f>IF('Actual vs Budget'!B42="","",'Actual vs Budget'!B42)</x:f>
        <x:v>46360.5</x:v>
      </x:c>
      <x:c r="C42" s="2" t="str">
        <x:f>IF('Actual vs Budget'!C42="","",'Actual vs Budget'!C42)</x:f>
        <x:v>New paid subs</x:v>
      </x:c>
      <x:c r="D42" s="6" t="str">
        <x:f>IF('Actual vs Budget'!G42="","",'Actual vs Budget'!G42)</x:f>
      </x:c>
      <x:c r="E42" s="36" t="str">
        <x:f>IF('Actual vs Budget'!H42="","",'Actual vs Budget'!H42)</x:f>
      </x:c>
      <x:c r="F42" s="6" t="n">
        <x:f>IF('Actual vs Budget'!E42="","",'Actual vs Budget'!E42)</x:f>
        <x:v>24</x:v>
      </x:c>
      <x:c r="G42" s="6" t="str">
        <x:f>IF('Actual vs Budget'!F42="","",'Actual vs Budget'!F42)</x:f>
      </x:c>
      <x:c r="H42" s="2" t="str">
        <x:f>IF('Actual vs Budget'!I42="","",'Actual vs Budget'!I42)</x:f>
        <x:v>Awaiting verified actuals</x:v>
      </x:c>
      <x:c r="I42" s="39"/>
      <x:c r="J42" s="39"/>
      <x:c r="K42" s="29"/>
      <x:c r="L42" s="38"/>
    </x:row>
    <x:row r="43" ht="34" customHeight="1">
      <x:c r="A43" s="2" t="n">
        <x:f>IF('Actual vs Budget'!A43="","",'Actual vs Budget'!A43)</x:f>
        <x:v>5</x:v>
      </x:c>
      <x:c r="B43" s="8" t="n">
        <x:f>IF('Actual vs Budget'!B43="","",'Actual vs Budget'!B43)</x:f>
        <x:v>46360.5</x:v>
      </x:c>
      <x:c r="C43" s="2" t="str">
        <x:f>IF('Actual vs Budget'!C43="","",'Actual vs Budget'!C43)</x:f>
        <x:v>Cost / trial</x:v>
      </x:c>
      <x:c r="D43" s="5" t="str">
        <x:f>IF('Actual vs Budget'!G43="","",'Actual vs Budget'!G43)</x:f>
      </x:c>
      <x:c r="E43" s="36" t="str">
        <x:f>IF('Actual vs Budget'!H43="","",'Actual vs Budget'!H43)</x:f>
      </x:c>
      <x:c r="F43" s="5" t="n">
        <x:f>IF('Actual vs Budget'!E43="","",'Actual vs Budget'!E43)</x:f>
        <x:v>14.81</x:v>
      </x:c>
      <x:c r="G43" s="5" t="str">
        <x:f>IF('Actual vs Budget'!F43="","",'Actual vs Budget'!F43)</x:f>
      </x:c>
      <x:c r="H43" s="2" t="str">
        <x:f>IF('Actual vs Budget'!I43="","",'Actual vs Budget'!I43)</x:f>
        <x:v>Awaiting verified actuals</x:v>
      </x:c>
      <x:c r="I43" s="39"/>
      <x:c r="J43" s="39"/>
      <x:c r="K43" s="29"/>
      <x:c r="L43" s="38"/>
    </x:row>
    <x:row r="44" ht="34" customHeight="1">
      <x:c r="A44" s="2" t="n">
        <x:f>IF('Actual vs Budget'!A44="","",'Actual vs Budget'!A44)</x:f>
        <x:v>5</x:v>
      </x:c>
      <x:c r="B44" s="8" t="n">
        <x:f>IF('Actual vs Budget'!B44="","",'Actual vs Budget'!B44)</x:f>
        <x:v>46360.5</x:v>
      </x:c>
      <x:c r="C44" s="2" t="str">
        <x:f>IF('Actual vs Budget'!C44="","",'Actual vs Budget'!C44)</x:f>
        <x:v>CAC to date</x:v>
      </x:c>
      <x:c r="D44" s="5" t="str">
        <x:f>IF('Actual vs Budget'!G44="","",'Actual vs Budget'!G44)</x:f>
      </x:c>
      <x:c r="E44" s="36" t="str">
        <x:f>IF('Actual vs Budget'!H44="","",'Actual vs Budget'!H44)</x:f>
      </x:c>
      <x:c r="F44" s="5" t="n">
        <x:f>IF('Actual vs Budget'!E44="","",'Actual vs Budget'!E44)</x:f>
        <x:v>55.77</x:v>
      </x:c>
      <x:c r="G44" s="5" t="str">
        <x:f>IF('Actual vs Budget'!F44="","",'Actual vs Budget'!F44)</x:f>
      </x:c>
      <x:c r="H44" s="2" t="str">
        <x:f>IF('Actual vs Budget'!I44="","",'Actual vs Budget'!I44)</x:f>
        <x:v>Awaiting verified actuals</x:v>
      </x:c>
      <x:c r="I44" s="39"/>
      <x:c r="J44" s="39"/>
      <x:c r="K44" s="29"/>
      <x:c r="L44" s="38"/>
    </x:row>
    <x:row r="45" ht="34" customHeight="1">
      <x:c r="A45" s="2" t="n">
        <x:f>IF('Actual vs Budget'!A45="","",'Actual vs Budget'!A45)</x:f>
        <x:v>6</x:v>
      </x:c>
      <x:c r="B45" s="8" t="n">
        <x:f>IF('Actual vs Budget'!B45="","",'Actual vs Budget'!B45)</x:f>
        <x:v>46367.5</x:v>
      </x:c>
      <x:c r="C45" s="2" t="str">
        <x:f>IF('Actual vs Budget'!C45="","",'Actual vs Budget'!C45)</x:f>
        <x:v>Ad spend</x:v>
      </x:c>
      <x:c r="D45" s="5" t="str">
        <x:f>IF('Actual vs Budget'!G45="","",'Actual vs Budget'!G45)</x:f>
      </x:c>
      <x:c r="E45" s="36" t="str">
        <x:f>IF('Actual vs Budget'!H45="","",'Actual vs Budget'!H45)</x:f>
      </x:c>
      <x:c r="F45" s="5" t="n">
        <x:f>IF('Actual vs Budget'!E45="","",'Actual vs Budget'!E45)</x:f>
        <x:v>800</x:v>
      </x:c>
      <x:c r="G45" s="5" t="str">
        <x:f>IF('Actual vs Budget'!F45="","",'Actual vs Budget'!F45)</x:f>
      </x:c>
      <x:c r="H45" s="2" t="str">
        <x:f>IF('Actual vs Budget'!I45="","",'Actual vs Budget'!I45)</x:f>
        <x:v>Awaiting verified actuals</x:v>
      </x:c>
      <x:c r="I45" s="39"/>
      <x:c r="J45" s="39"/>
      <x:c r="K45" s="29"/>
      <x:c r="L45" s="38"/>
    </x:row>
    <x:row r="46" ht="34" customHeight="1">
      <x:c r="A46" s="2" t="n">
        <x:f>IF('Actual vs Budget'!A46="","",'Actual vs Budget'!A46)</x:f>
        <x:v>6</x:v>
      </x:c>
      <x:c r="B46" s="8" t="n">
        <x:f>IF('Actual vs Budget'!B46="","",'Actual vs Budget'!B46)</x:f>
        <x:v>46367.5</x:v>
      </x:c>
      <x:c r="C46" s="2" t="str">
        <x:f>IF('Actual vs Budget'!C46="","",'Actual vs Budget'!C46)</x:f>
        <x:v>Ad views</x:v>
      </x:c>
      <x:c r="D46" s="6" t="str">
        <x:f>IF('Actual vs Budget'!G46="","",'Actual vs Budget'!G46)</x:f>
      </x:c>
      <x:c r="E46" s="36" t="str">
        <x:f>IF('Actual vs Budget'!H46="","",'Actual vs Budget'!H46)</x:f>
      </x:c>
      <x:c r="F46" s="6" t="n">
        <x:f>IF('Actual vs Budget'!E46="","",'Actual vs Budget'!E46)</x:f>
        <x:v>57143</x:v>
      </x:c>
      <x:c r="G46" s="6" t="str">
        <x:f>IF('Actual vs Budget'!F46="","",'Actual vs Budget'!F46)</x:f>
      </x:c>
      <x:c r="H46" s="2" t="str">
        <x:f>IF('Actual vs Budget'!I46="","",'Actual vs Budget'!I46)</x:f>
        <x:v>Awaiting verified actuals</x:v>
      </x:c>
      <x:c r="I46" s="39"/>
      <x:c r="J46" s="39"/>
      <x:c r="K46" s="29"/>
      <x:c r="L46" s="38"/>
    </x:row>
    <x:row r="47" ht="34" customHeight="1">
      <x:c r="A47" s="2" t="n">
        <x:f>IF('Actual vs Budget'!A47="","",'Actual vs Budget'!A47)</x:f>
        <x:v>6</x:v>
      </x:c>
      <x:c r="B47" s="8" t="n">
        <x:f>IF('Actual vs Budget'!B47="","",'Actual vs Budget'!B47)</x:f>
        <x:v>46367.5</x:v>
      </x:c>
      <x:c r="C47" s="2" t="str">
        <x:f>IF('Actual vs Budget'!C47="","",'Actual vs Budget'!C47)</x:f>
        <x:v>Signups</x:v>
      </x:c>
      <x:c r="D47" s="6" t="str">
        <x:f>IF('Actual vs Budget'!G47="","",'Actual vs Budget'!G47)</x:f>
      </x:c>
      <x:c r="E47" s="36" t="str">
        <x:f>IF('Actual vs Budget'!H47="","",'Actual vs Budget'!H47)</x:f>
      </x:c>
      <x:c r="F47" s="6" t="n">
        <x:f>IF('Actual vs Budget'!E47="","",'Actual vs Budget'!E47)</x:f>
        <x:v>86</x:v>
      </x:c>
      <x:c r="G47" s="6" t="str">
        <x:f>IF('Actual vs Budget'!F47="","",'Actual vs Budget'!F47)</x:f>
      </x:c>
      <x:c r="H47" s="2" t="str">
        <x:f>IF('Actual vs Budget'!I47="","",'Actual vs Budget'!I47)</x:f>
        <x:v>Awaiting verified actuals</x:v>
      </x:c>
      <x:c r="I47" s="39"/>
      <x:c r="J47" s="39"/>
      <x:c r="K47" s="29"/>
      <x:c r="L47" s="38"/>
    </x:row>
    <x:row r="48" ht="34" customHeight="1">
      <x:c r="A48" s="2" t="n">
        <x:f>IF('Actual vs Budget'!A48="","",'Actual vs Budget'!A48)</x:f>
        <x:v>6</x:v>
      </x:c>
      <x:c r="B48" s="8" t="n">
        <x:f>IF('Actual vs Budget'!B48="","",'Actual vs Budget'!B48)</x:f>
        <x:v>46367.5</x:v>
      </x:c>
      <x:c r="C48" s="2" t="str">
        <x:f>IF('Actual vs Budget'!C48="","",'Actual vs Budget'!C48)</x:f>
        <x:v>Trials</x:v>
      </x:c>
      <x:c r="D48" s="6" t="str">
        <x:f>IF('Actual vs Budget'!G48="","",'Actual vs Budget'!G48)</x:f>
      </x:c>
      <x:c r="E48" s="36" t="str">
        <x:f>IF('Actual vs Budget'!H48="","",'Actual vs Budget'!H48)</x:f>
      </x:c>
      <x:c r="F48" s="6" t="n">
        <x:f>IF('Actual vs Budget'!E48="","",'Actual vs Budget'!E48)</x:f>
        <x:v>54</x:v>
      </x:c>
      <x:c r="G48" s="6" t="str">
        <x:f>IF('Actual vs Budget'!F48="","",'Actual vs Budget'!F48)</x:f>
      </x:c>
      <x:c r="H48" s="2" t="str">
        <x:f>IF('Actual vs Budget'!I48="","",'Actual vs Budget'!I48)</x:f>
        <x:v>Awaiting verified actuals</x:v>
      </x:c>
      <x:c r="I48" s="39"/>
      <x:c r="J48" s="39"/>
      <x:c r="K48" s="29"/>
      <x:c r="L48" s="38"/>
    </x:row>
    <x:row r="49" ht="34" customHeight="1">
      <x:c r="A49" s="2" t="n">
        <x:f>IF('Actual vs Budget'!A49="","",'Actual vs Budget'!A49)</x:f>
        <x:v>6</x:v>
      </x:c>
      <x:c r="B49" s="8" t="n">
        <x:f>IF('Actual vs Budget'!B49="","",'Actual vs Budget'!B49)</x:f>
        <x:v>46367.5</x:v>
      </x:c>
      <x:c r="C49" s="2" t="str">
        <x:f>IF('Actual vs Budget'!C49="","",'Actual vs Budget'!C49)</x:f>
        <x:v>New paid subs</x:v>
      </x:c>
      <x:c r="D49" s="6" t="str">
        <x:f>IF('Actual vs Budget'!G49="","",'Actual vs Budget'!G49)</x:f>
      </x:c>
      <x:c r="E49" s="36" t="str">
        <x:f>IF('Actual vs Budget'!H49="","",'Actual vs Budget'!H49)</x:f>
      </x:c>
      <x:c r="F49" s="6" t="n">
        <x:f>IF('Actual vs Budget'!E49="","",'Actual vs Budget'!E49)</x:f>
        <x:v>24</x:v>
      </x:c>
      <x:c r="G49" s="6" t="str">
        <x:f>IF('Actual vs Budget'!F49="","",'Actual vs Budget'!F49)</x:f>
      </x:c>
      <x:c r="H49" s="2" t="str">
        <x:f>IF('Actual vs Budget'!I49="","",'Actual vs Budget'!I49)</x:f>
        <x:v>Awaiting verified actuals</x:v>
      </x:c>
      <x:c r="I49" s="39"/>
      <x:c r="J49" s="39"/>
      <x:c r="K49" s="29"/>
      <x:c r="L49" s="38"/>
    </x:row>
    <x:row r="50" ht="34" customHeight="1">
      <x:c r="A50" s="2" t="n">
        <x:f>IF('Actual vs Budget'!A50="","",'Actual vs Budget'!A50)</x:f>
        <x:v>6</x:v>
      </x:c>
      <x:c r="B50" s="8" t="n">
        <x:f>IF('Actual vs Budget'!B50="","",'Actual vs Budget'!B50)</x:f>
        <x:v>46367.5</x:v>
      </x:c>
      <x:c r="C50" s="2" t="str">
        <x:f>IF('Actual vs Budget'!C50="","",'Actual vs Budget'!C50)</x:f>
        <x:v>Cost / trial</x:v>
      </x:c>
      <x:c r="D50" s="5" t="str">
        <x:f>IF('Actual vs Budget'!G50="","",'Actual vs Budget'!G50)</x:f>
      </x:c>
      <x:c r="E50" s="36" t="str">
        <x:f>IF('Actual vs Budget'!H50="","",'Actual vs Budget'!H50)</x:f>
      </x:c>
      <x:c r="F50" s="5" t="n">
        <x:f>IF('Actual vs Budget'!E50="","",'Actual vs Budget'!E50)</x:f>
        <x:v>14.81</x:v>
      </x:c>
      <x:c r="G50" s="5" t="str">
        <x:f>IF('Actual vs Budget'!F50="","",'Actual vs Budget'!F50)</x:f>
      </x:c>
      <x:c r="H50" s="2" t="str">
        <x:f>IF('Actual vs Budget'!I50="","",'Actual vs Budget'!I50)</x:f>
        <x:v>Awaiting verified actuals</x:v>
      </x:c>
      <x:c r="I50" s="39"/>
      <x:c r="J50" s="39"/>
      <x:c r="K50" s="29"/>
      <x:c r="L50" s="38"/>
    </x:row>
    <x:row r="51" ht="34" customHeight="1">
      <x:c r="A51" s="2" t="n">
        <x:f>IF('Actual vs Budget'!A51="","",'Actual vs Budget'!A51)</x:f>
        <x:v>6</x:v>
      </x:c>
      <x:c r="B51" s="8" t="n">
        <x:f>IF('Actual vs Budget'!B51="","",'Actual vs Budget'!B51)</x:f>
        <x:v>46367.5</x:v>
      </x:c>
      <x:c r="C51" s="2" t="str">
        <x:f>IF('Actual vs Budget'!C51="","",'Actual vs Budget'!C51)</x:f>
        <x:v>CAC to date</x:v>
      </x:c>
      <x:c r="D51" s="5" t="str">
        <x:f>IF('Actual vs Budget'!G51="","",'Actual vs Budget'!G51)</x:f>
      </x:c>
      <x:c r="E51" s="36" t="str">
        <x:f>IF('Actual vs Budget'!H51="","",'Actual vs Budget'!H51)</x:f>
      </x:c>
      <x:c r="F51" s="5" t="n">
        <x:f>IF('Actual vs Budget'!E51="","",'Actual vs Budget'!E51)</x:f>
        <x:v>49.38</x:v>
      </x:c>
      <x:c r="G51" s="5" t="str">
        <x:f>IF('Actual vs Budget'!F51="","",'Actual vs Budget'!F51)</x:f>
      </x:c>
      <x:c r="H51" s="2" t="str">
        <x:f>IF('Actual vs Budget'!I51="","",'Actual vs Budget'!I51)</x:f>
        <x:v>Awaiting verified actuals</x:v>
      </x:c>
      <x:c r="I51" s="39"/>
      <x:c r="J51" s="39"/>
      <x:c r="K51" s="29"/>
      <x:c r="L51" s="38"/>
    </x:row>
    <x:row r="52" ht="34" customHeight="1">
      <x:c r="A52" s="2" t="n">
        <x:f>IF('Actual vs Budget'!A52="","",'Actual vs Budget'!A52)</x:f>
        <x:v>7</x:v>
      </x:c>
      <x:c r="B52" s="8" t="n">
        <x:f>IF('Actual vs Budget'!B52="","",'Actual vs Budget'!B52)</x:f>
        <x:v>46374.5</x:v>
      </x:c>
      <x:c r="C52" s="2" t="str">
        <x:f>IF('Actual vs Budget'!C52="","",'Actual vs Budget'!C52)</x:f>
        <x:v>Ad spend</x:v>
      </x:c>
      <x:c r="D52" s="5" t="str">
        <x:f>IF('Actual vs Budget'!G52="","",'Actual vs Budget'!G52)</x:f>
      </x:c>
      <x:c r="E52" s="36" t="str">
        <x:f>IF('Actual vs Budget'!H52="","",'Actual vs Budget'!H52)</x:f>
      </x:c>
      <x:c r="F52" s="5" t="str">
        <x:f>IF('Actual vs Budget'!E52="","",'Actual vs Budget'!E52)</x:f>
      </x:c>
      <x:c r="G52" s="5" t="str">
        <x:f>IF('Actual vs Budget'!F52="","",'Actual vs Budget'!F52)</x:f>
      </x:c>
      <x:c r="H52" s="2" t="str">
        <x:f>IF('Actual vs Budget'!I52="","",'Actual vs Budget'!I52)</x:f>
        <x:v>Awaiting verified actuals</x:v>
      </x:c>
      <x:c r="I52" s="39"/>
      <x:c r="J52" s="39"/>
      <x:c r="K52" s="29"/>
      <x:c r="L52" s="38"/>
    </x:row>
    <x:row r="53" ht="34" customHeight="1">
      <x:c r="A53" s="2" t="n">
        <x:f>IF('Actual vs Budget'!A53="","",'Actual vs Budget'!A53)</x:f>
        <x:v>7</x:v>
      </x:c>
      <x:c r="B53" s="8" t="n">
        <x:f>IF('Actual vs Budget'!B53="","",'Actual vs Budget'!B53)</x:f>
        <x:v>46374.5</x:v>
      </x:c>
      <x:c r="C53" s="2" t="str">
        <x:f>IF('Actual vs Budget'!C53="","",'Actual vs Budget'!C53)</x:f>
        <x:v>Ad views</x:v>
      </x:c>
      <x:c r="D53" s="6" t="str">
        <x:f>IF('Actual vs Budget'!G53="","",'Actual vs Budget'!G53)</x:f>
      </x:c>
      <x:c r="E53" s="36" t="str">
        <x:f>IF('Actual vs Budget'!H53="","",'Actual vs Budget'!H53)</x:f>
      </x:c>
      <x:c r="F53" s="6" t="str">
        <x:f>IF('Actual vs Budget'!E53="","",'Actual vs Budget'!E53)</x:f>
      </x:c>
      <x:c r="G53" s="6" t="str">
        <x:f>IF('Actual vs Budget'!F53="","",'Actual vs Budget'!F53)</x:f>
      </x:c>
      <x:c r="H53" s="2" t="str">
        <x:f>IF('Actual vs Budget'!I53="","",'Actual vs Budget'!I53)</x:f>
        <x:v>Awaiting verified actuals</x:v>
      </x:c>
      <x:c r="I53" s="39"/>
      <x:c r="J53" s="39"/>
      <x:c r="K53" s="29"/>
      <x:c r="L53" s="38"/>
    </x:row>
    <x:row r="54" ht="34" customHeight="1">
      <x:c r="A54" s="2" t="n">
        <x:f>IF('Actual vs Budget'!A54="","",'Actual vs Budget'!A54)</x:f>
        <x:v>7</x:v>
      </x:c>
      <x:c r="B54" s="8" t="n">
        <x:f>IF('Actual vs Budget'!B54="","",'Actual vs Budget'!B54)</x:f>
        <x:v>46374.5</x:v>
      </x:c>
      <x:c r="C54" s="2" t="str">
        <x:f>IF('Actual vs Budget'!C54="","",'Actual vs Budget'!C54)</x:f>
        <x:v>Signups</x:v>
      </x:c>
      <x:c r="D54" s="6" t="str">
        <x:f>IF('Actual vs Budget'!G54="","",'Actual vs Budget'!G54)</x:f>
      </x:c>
      <x:c r="E54" s="36" t="str">
        <x:f>IF('Actual vs Budget'!H54="","",'Actual vs Budget'!H54)</x:f>
      </x:c>
      <x:c r="F54" s="6" t="str">
        <x:f>IF('Actual vs Budget'!E54="","",'Actual vs Budget'!E54)</x:f>
      </x:c>
      <x:c r="G54" s="6" t="str">
        <x:f>IF('Actual vs Budget'!F54="","",'Actual vs Budget'!F54)</x:f>
      </x:c>
      <x:c r="H54" s="2" t="str">
        <x:f>IF('Actual vs Budget'!I54="","",'Actual vs Budget'!I54)</x:f>
        <x:v>Awaiting verified actuals</x:v>
      </x:c>
      <x:c r="I54" s="39"/>
      <x:c r="J54" s="39"/>
      <x:c r="K54" s="29"/>
      <x:c r="L54" s="38"/>
    </x:row>
    <x:row r="55" ht="34" customHeight="1">
      <x:c r="A55" s="2" t="n">
        <x:f>IF('Actual vs Budget'!A55="","",'Actual vs Budget'!A55)</x:f>
        <x:v>7</x:v>
      </x:c>
      <x:c r="B55" s="8" t="n">
        <x:f>IF('Actual vs Budget'!B55="","",'Actual vs Budget'!B55)</x:f>
        <x:v>46374.5</x:v>
      </x:c>
      <x:c r="C55" s="2" t="str">
        <x:f>IF('Actual vs Budget'!C55="","",'Actual vs Budget'!C55)</x:f>
        <x:v>Trials</x:v>
      </x:c>
      <x:c r="D55" s="6" t="str">
        <x:f>IF('Actual vs Budget'!G55="","",'Actual vs Budget'!G55)</x:f>
      </x:c>
      <x:c r="E55" s="36" t="str">
        <x:f>IF('Actual vs Budget'!H55="","",'Actual vs Budget'!H55)</x:f>
      </x:c>
      <x:c r="F55" s="6" t="str">
        <x:f>IF('Actual vs Budget'!E55="","",'Actual vs Budget'!E55)</x:f>
      </x:c>
      <x:c r="G55" s="6" t="str">
        <x:f>IF('Actual vs Budget'!F55="","",'Actual vs Budget'!F55)</x:f>
      </x:c>
      <x:c r="H55" s="2" t="str">
        <x:f>IF('Actual vs Budget'!I55="","",'Actual vs Budget'!I55)</x:f>
        <x:v>Awaiting verified actuals</x:v>
      </x:c>
      <x:c r="I55" s="39"/>
      <x:c r="J55" s="39"/>
      <x:c r="K55" s="29"/>
      <x:c r="L55" s="38"/>
    </x:row>
    <x:row r="56" ht="34" customHeight="1">
      <x:c r="A56" s="2" t="n">
        <x:f>IF('Actual vs Budget'!A56="","",'Actual vs Budget'!A56)</x:f>
        <x:v>7</x:v>
      </x:c>
      <x:c r="B56" s="8" t="n">
        <x:f>IF('Actual vs Budget'!B56="","",'Actual vs Budget'!B56)</x:f>
        <x:v>46374.5</x:v>
      </x:c>
      <x:c r="C56" s="2" t="str">
        <x:f>IF('Actual vs Budget'!C56="","",'Actual vs Budget'!C56)</x:f>
        <x:v>New paid subs</x:v>
      </x:c>
      <x:c r="D56" s="6" t="str">
        <x:f>IF('Actual vs Budget'!G56="","",'Actual vs Budget'!G56)</x:f>
      </x:c>
      <x:c r="E56" s="36" t="str">
        <x:f>IF('Actual vs Budget'!H56="","",'Actual vs Budget'!H56)</x:f>
      </x:c>
      <x:c r="F56" s="6" t="n">
        <x:f>IF('Actual vs Budget'!E56="","",'Actual vs Budget'!E56)</x:f>
        <x:v>27</x:v>
      </x:c>
      <x:c r="G56" s="6" t="str">
        <x:f>IF('Actual vs Budget'!F56="","",'Actual vs Budget'!F56)</x:f>
      </x:c>
      <x:c r="H56" s="2" t="str">
        <x:f>IF('Actual vs Budget'!I56="","",'Actual vs Budget'!I56)</x:f>
        <x:v>Awaiting verified actuals</x:v>
      </x:c>
      <x:c r="I56" s="39"/>
      <x:c r="J56" s="39"/>
      <x:c r="K56" s="29"/>
      <x:c r="L56" s="38"/>
    </x:row>
    <x:row r="57" ht="34" customHeight="1">
      <x:c r="A57" s="2" t="n">
        <x:f>IF('Actual vs Budget'!A57="","",'Actual vs Budget'!A57)</x:f>
        <x:v>7</x:v>
      </x:c>
      <x:c r="B57" s="8" t="n">
        <x:f>IF('Actual vs Budget'!B57="","",'Actual vs Budget'!B57)</x:f>
        <x:v>46374.5</x:v>
      </x:c>
      <x:c r="C57" s="2" t="str">
        <x:f>IF('Actual vs Budget'!C57="","",'Actual vs Budget'!C57)</x:f>
        <x:v>Cost / trial</x:v>
      </x:c>
      <x:c r="D57" s="5" t="str">
        <x:f>IF('Actual vs Budget'!G57="","",'Actual vs Budget'!G57)</x:f>
      </x:c>
      <x:c r="E57" s="36" t="str">
        <x:f>IF('Actual vs Budget'!H57="","",'Actual vs Budget'!H57)</x:f>
      </x:c>
      <x:c r="F57" s="5" t="str">
        <x:f>IF('Actual vs Budget'!E57="","",'Actual vs Budget'!E57)</x:f>
      </x:c>
      <x:c r="G57" s="5" t="str">
        <x:f>IF('Actual vs Budget'!F57="","",'Actual vs Budget'!F57)</x:f>
      </x:c>
      <x:c r="H57" s="2" t="str">
        <x:f>IF('Actual vs Budget'!I57="","",'Actual vs Budget'!I57)</x:f>
        <x:v>Awaiting verified actuals</x:v>
      </x:c>
      <x:c r="I57" s="39"/>
      <x:c r="J57" s="39"/>
      <x:c r="K57" s="29"/>
      <x:c r="L57" s="38"/>
    </x:row>
    <x:row r="58" ht="34" customHeight="1">
      <x:c r="A58" s="2" t="n">
        <x:f>IF('Actual vs Budget'!A58="","",'Actual vs Budget'!A58)</x:f>
        <x:v>7</x:v>
      </x:c>
      <x:c r="B58" s="8" t="n">
        <x:f>IF('Actual vs Budget'!B58="","",'Actual vs Budget'!B58)</x:f>
        <x:v>46374.5</x:v>
      </x:c>
      <x:c r="C58" s="2" t="str">
        <x:f>IF('Actual vs Budget'!C58="","",'Actual vs Budget'!C58)</x:f>
        <x:v>CAC to date</x:v>
      </x:c>
      <x:c r="D58" s="5" t="str">
        <x:f>IF('Actual vs Budget'!G58="","",'Actual vs Budget'!G58)</x:f>
      </x:c>
      <x:c r="E58" s="36" t="str">
        <x:f>IF('Actual vs Budget'!H58="","",'Actual vs Budget'!H58)</x:f>
      </x:c>
      <x:c r="F58" s="5" t="n">
        <x:f>IF('Actual vs Budget'!E58="","",'Actual vs Budget'!E58)</x:f>
        <x:v>37.04</x:v>
      </x:c>
      <x:c r="G58" s="5" t="str">
        <x:f>IF('Actual vs Budget'!F58="","",'Actual vs Budget'!F58)</x:f>
      </x:c>
      <x:c r="H58" s="2" t="str">
        <x:f>IF('Actual vs Budget'!I58="","",'Actual vs Budget'!I58)</x:f>
        <x:v>Awaiting verified actuals</x:v>
      </x:c>
      <x:c r="I58" s="39"/>
      <x:c r="J58" s="39"/>
      <x:c r="K58" s="29"/>
      <x:c r="L58" s="38"/>
    </x:row>
    <x:row r="59" ht="34" customHeight="1">
      <x:c r="A59" s="2" t="n">
        <x:f>IF('Actual vs Budget'!A59="","",'Actual vs Budget'!A59)</x:f>
        <x:v>8</x:v>
      </x:c>
      <x:c r="B59" s="8" t="n">
        <x:f>IF('Actual vs Budget'!B59="","",'Actual vs Budget'!B59)</x:f>
        <x:v>46381.5</x:v>
      </x:c>
      <x:c r="C59" s="2" t="str">
        <x:f>IF('Actual vs Budget'!C59="","",'Actual vs Budget'!C59)</x:f>
        <x:v>Ad spend</x:v>
      </x:c>
      <x:c r="D59" s="5" t="str">
        <x:f>IF('Actual vs Budget'!G59="","",'Actual vs Budget'!G59)</x:f>
      </x:c>
      <x:c r="E59" s="36" t="str">
        <x:f>IF('Actual vs Budget'!H59="","",'Actual vs Budget'!H59)</x:f>
      </x:c>
      <x:c r="F59" s="5" t="str">
        <x:f>IF('Actual vs Budget'!E59="","",'Actual vs Budget'!E59)</x:f>
      </x:c>
      <x:c r="G59" s="5" t="str">
        <x:f>IF('Actual vs Budget'!F59="","",'Actual vs Budget'!F59)</x:f>
      </x:c>
      <x:c r="H59" s="2" t="str">
        <x:f>IF('Actual vs Budget'!I59="","",'Actual vs Budget'!I59)</x:f>
        <x:v>Awaiting verified actuals</x:v>
      </x:c>
      <x:c r="I59" s="39"/>
      <x:c r="J59" s="39"/>
      <x:c r="K59" s="29"/>
      <x:c r="L59" s="38"/>
    </x:row>
    <x:row r="60" ht="34" customHeight="1">
      <x:c r="A60" s="2" t="n">
        <x:f>IF('Actual vs Budget'!A60="","",'Actual vs Budget'!A60)</x:f>
        <x:v>8</x:v>
      </x:c>
      <x:c r="B60" s="8" t="n">
        <x:f>IF('Actual vs Budget'!B60="","",'Actual vs Budget'!B60)</x:f>
        <x:v>46381.5</x:v>
      </x:c>
      <x:c r="C60" s="2" t="str">
        <x:f>IF('Actual vs Budget'!C60="","",'Actual vs Budget'!C60)</x:f>
        <x:v>Ad views</x:v>
      </x:c>
      <x:c r="D60" s="6" t="str">
        <x:f>IF('Actual vs Budget'!G60="","",'Actual vs Budget'!G60)</x:f>
      </x:c>
      <x:c r="E60" s="36" t="str">
        <x:f>IF('Actual vs Budget'!H60="","",'Actual vs Budget'!H60)</x:f>
      </x:c>
      <x:c r="F60" s="6" t="str">
        <x:f>IF('Actual vs Budget'!E60="","",'Actual vs Budget'!E60)</x:f>
      </x:c>
      <x:c r="G60" s="6" t="str">
        <x:f>IF('Actual vs Budget'!F60="","",'Actual vs Budget'!F60)</x:f>
      </x:c>
      <x:c r="H60" s="2" t="str">
        <x:f>IF('Actual vs Budget'!I60="","",'Actual vs Budget'!I60)</x:f>
        <x:v>Awaiting verified actuals</x:v>
      </x:c>
      <x:c r="I60" s="39"/>
      <x:c r="J60" s="39"/>
      <x:c r="K60" s="29"/>
      <x:c r="L60" s="38"/>
    </x:row>
    <x:row r="61" ht="34" customHeight="1">
      <x:c r="A61" s="2" t="n">
        <x:f>IF('Actual vs Budget'!A61="","",'Actual vs Budget'!A61)</x:f>
        <x:v>8</x:v>
      </x:c>
      <x:c r="B61" s="8" t="n">
        <x:f>IF('Actual vs Budget'!B61="","",'Actual vs Budget'!B61)</x:f>
        <x:v>46381.5</x:v>
      </x:c>
      <x:c r="C61" s="2" t="str">
        <x:f>IF('Actual vs Budget'!C61="","",'Actual vs Budget'!C61)</x:f>
        <x:v>Signups</x:v>
      </x:c>
      <x:c r="D61" s="6" t="str">
        <x:f>IF('Actual vs Budget'!G61="","",'Actual vs Budget'!G61)</x:f>
      </x:c>
      <x:c r="E61" s="36" t="str">
        <x:f>IF('Actual vs Budget'!H61="","",'Actual vs Budget'!H61)</x:f>
      </x:c>
      <x:c r="F61" s="6" t="str">
        <x:f>IF('Actual vs Budget'!E61="","",'Actual vs Budget'!E61)</x:f>
      </x:c>
      <x:c r="G61" s="6" t="str">
        <x:f>IF('Actual vs Budget'!F61="","",'Actual vs Budget'!F61)</x:f>
      </x:c>
      <x:c r="H61" s="2" t="str">
        <x:f>IF('Actual vs Budget'!I61="","",'Actual vs Budget'!I61)</x:f>
        <x:v>Awaiting verified actuals</x:v>
      </x:c>
      <x:c r="I61" s="39"/>
      <x:c r="J61" s="39"/>
      <x:c r="K61" s="29"/>
      <x:c r="L61" s="38"/>
    </x:row>
    <x:row r="62" ht="34" customHeight="1">
      <x:c r="A62" s="2" t="n">
        <x:f>IF('Actual vs Budget'!A62="","",'Actual vs Budget'!A62)</x:f>
        <x:v>8</x:v>
      </x:c>
      <x:c r="B62" s="8" t="n">
        <x:f>IF('Actual vs Budget'!B62="","",'Actual vs Budget'!B62)</x:f>
        <x:v>46381.5</x:v>
      </x:c>
      <x:c r="C62" s="2" t="str">
        <x:f>IF('Actual vs Budget'!C62="","",'Actual vs Budget'!C62)</x:f>
        <x:v>Trials</x:v>
      </x:c>
      <x:c r="D62" s="6" t="str">
        <x:f>IF('Actual vs Budget'!G62="","",'Actual vs Budget'!G62)</x:f>
      </x:c>
      <x:c r="E62" s="36" t="str">
        <x:f>IF('Actual vs Budget'!H62="","",'Actual vs Budget'!H62)</x:f>
      </x:c>
      <x:c r="F62" s="6" t="str">
        <x:f>IF('Actual vs Budget'!E62="","",'Actual vs Budget'!E62)</x:f>
      </x:c>
      <x:c r="G62" s="6" t="str">
        <x:f>IF('Actual vs Budget'!F62="","",'Actual vs Budget'!F62)</x:f>
      </x:c>
      <x:c r="H62" s="2" t="str">
        <x:f>IF('Actual vs Budget'!I62="","",'Actual vs Budget'!I62)</x:f>
        <x:v>Awaiting verified actuals</x:v>
      </x:c>
      <x:c r="I62" s="39"/>
      <x:c r="J62" s="39"/>
      <x:c r="K62" s="29"/>
      <x:c r="L62" s="38"/>
    </x:row>
    <x:row r="63" ht="34" customHeight="1">
      <x:c r="A63" s="2" t="n">
        <x:f>IF('Actual vs Budget'!A63="","",'Actual vs Budget'!A63)</x:f>
        <x:v>8</x:v>
      </x:c>
      <x:c r="B63" s="8" t="n">
        <x:f>IF('Actual vs Budget'!B63="","",'Actual vs Budget'!B63)</x:f>
        <x:v>46381.5</x:v>
      </x:c>
      <x:c r="C63" s="2" t="str">
        <x:f>IF('Actual vs Budget'!C63="","",'Actual vs Budget'!C63)</x:f>
        <x:v>New paid subs</x:v>
      </x:c>
      <x:c r="D63" s="6" t="str">
        <x:f>IF('Actual vs Budget'!G63="","",'Actual vs Budget'!G63)</x:f>
      </x:c>
      <x:c r="E63" s="36" t="str">
        <x:f>IF('Actual vs Budget'!H63="","",'Actual vs Budget'!H63)</x:f>
      </x:c>
      <x:c r="F63" s="6" t="n">
        <x:f>IF('Actual vs Budget'!E63="","",'Actual vs Budget'!E63)</x:f>
        <x:v>27</x:v>
      </x:c>
      <x:c r="G63" s="6" t="str">
        <x:f>IF('Actual vs Budget'!F63="","",'Actual vs Budget'!F63)</x:f>
      </x:c>
      <x:c r="H63" s="2" t="str">
        <x:f>IF('Actual vs Budget'!I63="","",'Actual vs Budget'!I63)</x:f>
        <x:v>Awaiting verified actuals</x:v>
      </x:c>
      <x:c r="I63" s="39"/>
      <x:c r="J63" s="39"/>
      <x:c r="K63" s="29"/>
      <x:c r="L63" s="38"/>
    </x:row>
    <x:row r="64" ht="34" customHeight="1">
      <x:c r="A64" s="2" t="n">
        <x:f>IF('Actual vs Budget'!A64="","",'Actual vs Budget'!A64)</x:f>
        <x:v>8</x:v>
      </x:c>
      <x:c r="B64" s="8" t="n">
        <x:f>IF('Actual vs Budget'!B64="","",'Actual vs Budget'!B64)</x:f>
        <x:v>46381.5</x:v>
      </x:c>
      <x:c r="C64" s="2" t="str">
        <x:f>IF('Actual vs Budget'!C64="","",'Actual vs Budget'!C64)</x:f>
        <x:v>Cost / trial</x:v>
      </x:c>
      <x:c r="D64" s="5" t="str">
        <x:f>IF('Actual vs Budget'!G64="","",'Actual vs Budget'!G64)</x:f>
      </x:c>
      <x:c r="E64" s="36" t="str">
        <x:f>IF('Actual vs Budget'!H64="","",'Actual vs Budget'!H64)</x:f>
      </x:c>
      <x:c r="F64" s="5" t="str">
        <x:f>IF('Actual vs Budget'!E64="","",'Actual vs Budget'!E64)</x:f>
      </x:c>
      <x:c r="G64" s="5" t="str">
        <x:f>IF('Actual vs Budget'!F64="","",'Actual vs Budget'!F64)</x:f>
      </x:c>
      <x:c r="H64" s="2" t="str">
        <x:f>IF('Actual vs Budget'!I64="","",'Actual vs Budget'!I64)</x:f>
        <x:v>Awaiting verified actuals</x:v>
      </x:c>
      <x:c r="I64" s="39"/>
      <x:c r="J64" s="39"/>
      <x:c r="K64" s="29"/>
      <x:c r="L64" s="38"/>
    </x:row>
    <x:row r="65" ht="34" customHeight="1">
      <x:c r="A65" s="2" t="n">
        <x:f>IF('Actual vs Budget'!A65="","",'Actual vs Budget'!A65)</x:f>
        <x:v>8</x:v>
      </x:c>
      <x:c r="B65" s="8" t="n">
        <x:f>IF('Actual vs Budget'!B65="","",'Actual vs Budget'!B65)</x:f>
        <x:v>46381.5</x:v>
      </x:c>
      <x:c r="C65" s="2" t="str">
        <x:f>IF('Actual vs Budget'!C65="","",'Actual vs Budget'!C65)</x:f>
        <x:v>CAC to date</x:v>
      </x:c>
      <x:c r="D65" s="5" t="str">
        <x:f>IF('Actual vs Budget'!G65="","",'Actual vs Budget'!G65)</x:f>
      </x:c>
      <x:c r="E65" s="36" t="str">
        <x:f>IF('Actual vs Budget'!H65="","",'Actual vs Budget'!H65)</x:f>
      </x:c>
      <x:c r="F65" s="5" t="n">
        <x:f>IF('Actual vs Budget'!E65="","",'Actual vs Budget'!E65)</x:f>
        <x:v>29.63</x:v>
      </x:c>
      <x:c r="G65" s="5" t="str">
        <x:f>IF('Actual vs Budget'!F65="","",'Actual vs Budget'!F65)</x:f>
      </x:c>
      <x:c r="H65" s="2" t="str">
        <x:f>IF('Actual vs Budget'!I65="","",'Actual vs Budget'!I65)</x:f>
        <x:v>Awaiting verified actuals</x:v>
      </x:c>
      <x:c r="I65" s="39"/>
      <x:c r="J65" s="39"/>
      <x:c r="K65" s="29"/>
      <x:c r="L65" s="38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37" hidden="0" customWidth="1"/>
    <x:col min="2" max="2" width="22" hidden="0" customWidth="1"/>
    <x:col min="3" max="3" width="22" hidden="0" customWidth="1"/>
    <x:col min="4" max="4" width="39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Strategos decision rules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Set October 29. Source status: awaiting owner approval. Reference rules only.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3" t="str">
        <x:v>Measure</x:v>
      </x:c>
      <x:c r="B9" s="23" t="str">
        <x:v>Scale</x:v>
      </x:c>
      <x:c r="C9" s="23" t="str">
        <x:v>Stop / revise</x:v>
      </x:c>
      <x:c r="D9" s="23" t="str">
        <x:v>Judged after</x:v>
      </x:c>
      <x:c r="E9" s="2"/>
      <x:c r="F9" s="2"/>
      <x:c r="G9" s="2"/>
      <x:c r="H9" s="2"/>
      <x:c r="I9" s="2"/>
      <x:c r="J9" s="2"/>
      <x:c r="K9" s="2"/>
      <x:c r="L9" s="2"/>
    </x:row>
    <x:row r="10" ht="44" customHeight="1">
      <x:c r="A10" s="40" t="str">
        <x:v>Cost per page load · per ad</x:v>
      </x:c>
      <x:c r="B10" s="40" t="str">
        <x:v>$1.17 or better</x:v>
      </x:c>
      <x:c r="C10" s="40" t="str">
        <x:v>Worse than $1.75</x:v>
      </x:c>
      <x:c r="D10" s="40" t="str">
        <x:v>$75 spent on that ad</x:v>
      </x:c>
      <x:c r="E10" s="2"/>
      <x:c r="F10" s="2"/>
      <x:c r="G10" s="2"/>
      <x:c r="H10" s="2"/>
      <x:c r="I10" s="2"/>
      <x:c r="J10" s="2"/>
      <x:c r="K10" s="2"/>
      <x:c r="L10" s="2"/>
    </x:row>
    <x:row r="11" ht="44" customHeight="1">
      <x:c r="A11" s="40" t="str">
        <x:v>Cost per signup · per ad</x:v>
      </x:c>
      <x:c r="B11" s="40" t="str">
        <x:v>$9.33 or better</x:v>
      </x:c>
      <x:c r="C11" s="40" t="str">
        <x:v>Worse than $15.00</x:v>
      </x:c>
      <x:c r="D11" s="40" t="str">
        <x:v>$75–150 spent on that ad</x:v>
      </x:c>
      <x:c r="E11" s="2"/>
      <x:c r="F11" s="2"/>
      <x:c r="G11" s="2"/>
      <x:c r="H11" s="2"/>
      <x:c r="I11" s="2"/>
      <x:c r="J11" s="2"/>
      <x:c r="K11" s="2"/>
      <x:c r="L11" s="2"/>
    </x:row>
    <x:row r="12" ht="44" customHeight="1">
      <x:c r="A12" s="40" t="str">
        <x:v>Cost per trial · pause for revision</x:v>
      </x:c>
      <x:c r="B12" s="40" t="str">
        <x:v>$15.00 or better</x:v>
      </x:c>
      <x:c r="C12" s="40" t="str">
        <x:v>Worse than $22.50</x:v>
      </x:c>
      <x:c r="D12" s="40" t="str">
        <x:v>$600 total spend</x:v>
      </x:c>
      <x:c r="E12" s="2"/>
      <x:c r="F12" s="2"/>
      <x:c r="G12" s="2"/>
      <x:c r="H12" s="2"/>
      <x:c r="I12" s="2"/>
      <x:c r="J12" s="2"/>
      <x:c r="K12" s="2"/>
      <x:c r="L12" s="2"/>
    </x:row>
    <x:row r="13" ht="44" customHeight="1">
      <x:c r="A13" s="40" t="str">
        <x:v>Cost per trial · hard kill</x:v>
      </x:c>
      <x:c r="B13" s="40" t="str">
        <x:v>$15.00 or better</x:v>
      </x:c>
      <x:c r="C13" s="40" t="str">
        <x:v>Worse than $25.00</x:v>
      </x:c>
      <x:c r="D13" s="40" t="str">
        <x:v>$600 total spend</x:v>
      </x:c>
      <x:c r="E13" s="2"/>
      <x:c r="F13" s="2"/>
      <x:c r="G13" s="2"/>
      <x:c r="H13" s="2"/>
      <x:c r="I13" s="2"/>
      <x:c r="J13" s="2"/>
      <x:c r="K13" s="2"/>
      <x:c r="L13" s="2"/>
    </x:row>
    <x:row r="14" ht="44" customHeight="1">
      <x:c r="A14" s="40" t="str">
        <x:v>Trial-to-paid rate</x:v>
      </x:c>
      <x:c r="B14" s="40" t="str">
        <x:v>50% or better</x:v>
      </x:c>
      <x:c r="C14" s="40" t="str">
        <x:v>Worse than 35%</x:v>
      </x:c>
      <x:c r="D14" s="40" t="str">
        <x:v>30 trials aged 14 days</x:v>
      </x:c>
      <x:c r="E14" s="2"/>
      <x:c r="F14" s="2"/>
      <x:c r="G14" s="2"/>
      <x:c r="H14" s="2"/>
      <x:c r="I14" s="2"/>
      <x:c r="J14" s="2"/>
      <x:c r="K14" s="2"/>
      <x:c r="L14" s="2"/>
    </x:row>
    <x:row r="15" ht="44" customHeight="1">
      <x:c r="A15" s="40" t="str">
        <x:v>Blended CAC · hard kill</x:v>
      </x:c>
      <x:c r="B15" s="40" t="str">
        <x:v>$30.00 or better</x:v>
      </x:c>
      <x:c r="C15" s="40" t="str">
        <x:v>Worse than $45.00</x:v>
      </x:c>
      <x:c r="D15" s="40" t="str">
        <x:v>Any time it is measurable</x:v>
      </x:c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6" t="str">
        <x:v>Standing rules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9" t="str">
        <x:v>No ad changes in its first 3 days unless it breaks a stop rule — Meta needs time to learn.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19" t="str">
        <x:v>Pause is always allowed without approval. Resuming or launching needs an approved, unchanged version.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19" t="str">
        <x:v>Weekly spend never goes over the Weekly Plan amount without Marc's approval.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19" t="str">
        <x:v>Trial-to-paid under 35% means fix onboarding, not ads — even a $15 trial then costs about $43 per subscriber.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19" t="str">
        <x:v>$400 reserve moves to the winner only after $600 spent, 10+ trials per ad set aged 14 days, cost per trial $15 or less AND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19" t="str">
        <x:v>early paid rate 40% or more. Otherwise hold it.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19" t="str">
        <x:v>During the trial send: hour 1 ‘next episode ready’ link; day 1 next episode + short framing; day 10 ‘episode 3 unlocked’ +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19" t="str">
        <x:v>billing reminder 4 days before the charge.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19" t="str">
        <x:v>Final CAC review: January 1, 2027. January spend stays $0 until the review.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19" t="str">
        <x:v>The reserve is not an additional $400. These rules and trial emails are not activated by this workbook.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1A99D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Campaign cash tracking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Plan funding is separate from verified deposits and actual Meta card charges. USD.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Planned funding</x:v>
      </x:c>
      <x:c r="B4" s="33" t="n">
        <x:f>'Budget'!B4</x:f>
        <x:v>4000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 t="str">
        <x:v>Opening cash</x:v>
      </x:c>
      <x:c r="B5" s="31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19" t="str">
        <x:v>Enter verified opening cash, deposits, card charges, other cash outflows and source references.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8" customHeight="1">
      <x:c r="A9" s="23" t="str">
        <x:v>Week</x:v>
      </x:c>
      <x:c r="B9" s="23" t="str">
        <x:v>Starts</x:v>
      </x:c>
      <x:c r="C9" s="23" t="str">
        <x:v>Ad budget</x:v>
      </x:c>
      <x:c r="D9" s="23" t="str">
        <x:v>Opening cash</x:v>
      </x:c>
      <x:c r="E9" s="23" t="str">
        <x:v>Deposits</x:v>
      </x:c>
      <x:c r="F9" s="23" t="str">
        <x:v>Meta charges</x:v>
      </x:c>
      <x:c r="G9" s="23" t="str">
        <x:v>Other cash out</x:v>
      </x:c>
      <x:c r="H9" s="23" t="str">
        <x:v>Closing cash</x:v>
      </x:c>
      <x:c r="I9" s="23" t="str">
        <x:v>Ad budget left</x:v>
      </x:c>
      <x:c r="J9" s="23" t="str">
        <x:v>Source / receipt</x:v>
      </x:c>
      <x:c r="K9" s="23" t="str">
        <x:v>Verified</x:v>
      </x:c>
      <x:c r="L9" s="2"/>
    </x:row>
    <x:row r="10" ht="24" customHeight="1">
      <x:c r="A10" s="27" t="n">
        <x:f>'Budget'!A10</x:f>
        <x:v>1</x:v>
      </x:c>
      <x:c r="B10" s="30" t="n">
        <x:f>'Budget'!B10</x:f>
        <x:v>46332.5</x:v>
      </x:c>
      <x:c r="C10" s="33" t="n">
        <x:f>'Budget'!D10</x:f>
        <x:v>500</x:v>
      </x:c>
      <x:c r="D10" s="4" t="str">
        <x:f>IF(ISNUMBER($B$5),$B$5,"")</x:f>
      </x:c>
      <x:c r="E10" s="31"/>
      <x:c r="F10" s="31"/>
      <x:c r="G10" s="31"/>
      <x:c r="H10" s="4" t="str">
        <x:f>IF(AND(K10="Yes",J10&lt;&gt;"",COUNT(D10:G10)=4),D10+E10-F10-G10,"")</x:f>
      </x:c>
      <x:c r="I10" s="33" t="str">
        <x:f>IF(AND(COUNT($F$10:F10)=1,COUNTIFS($K$10:K10,"Yes")=1,COUNTBLANK($J$10:J10)=0),'Budget'!$B$4-SUM($F$10:F10),"")</x:f>
      </x:c>
      <x:c r="J10" s="29"/>
      <x:c r="K10" s="29"/>
      <x:c r="L10" s="2"/>
    </x:row>
    <x:row r="11" ht="24" customHeight="1">
      <x:c r="A11" s="27" t="n">
        <x:f>'Budget'!A11</x:f>
        <x:v>2</x:v>
      </x:c>
      <x:c r="B11" s="30" t="n">
        <x:f>'Budget'!B11</x:f>
        <x:v>46339.5</x:v>
      </x:c>
      <x:c r="C11" s="33" t="n">
        <x:f>'Budget'!D11</x:f>
        <x:v>500</x:v>
      </x:c>
      <x:c r="D11" s="4" t="str">
        <x:f>IF(ISNUMBER(H10),H10,"")</x:f>
      </x:c>
      <x:c r="E11" s="31"/>
      <x:c r="F11" s="31"/>
      <x:c r="G11" s="31"/>
      <x:c r="H11" s="4" t="str">
        <x:f>IF(AND(K11="Yes",J11&lt;&gt;"",COUNT(D11:G11)=4),D11+E11-F11-G11,"")</x:f>
      </x:c>
      <x:c r="I11" s="33" t="str">
        <x:f>IF(AND(COUNT($F$10:F11)=2,COUNTIFS($K$10:K11,"Yes")=2,COUNTBLANK($J$10:J11)=0),'Budget'!$B$4-SUM($F$10:F11),"")</x:f>
      </x:c>
      <x:c r="J11" s="29"/>
      <x:c r="K11" s="29"/>
      <x:c r="L11" s="2"/>
    </x:row>
    <x:row r="12" ht="24" customHeight="1">
      <x:c r="A12" s="27" t="n">
        <x:f>'Budget'!A12</x:f>
        <x:v>3</x:v>
      </x:c>
      <x:c r="B12" s="30" t="n">
        <x:f>'Budget'!B12</x:f>
        <x:v>46346.5</x:v>
      </x:c>
      <x:c r="C12" s="33" t="n">
        <x:f>'Budget'!D12</x:f>
        <x:v>700</x:v>
      </x:c>
      <x:c r="D12" s="4" t="str">
        <x:f>IF(ISNUMBER(H11),H11,"")</x:f>
      </x:c>
      <x:c r="E12" s="31"/>
      <x:c r="F12" s="31"/>
      <x:c r="G12" s="31"/>
      <x:c r="H12" s="4" t="str">
        <x:f>IF(AND(K12="Yes",J12&lt;&gt;"",COUNT(D12:G12)=4),D12+E12-F12-G12,"")</x:f>
      </x:c>
      <x:c r="I12" s="33" t="str">
        <x:f>IF(AND(COUNT($F$10:F12)=3,COUNTIFS($K$10:K12,"Yes")=3,COUNTBLANK($J$10:J12)=0),'Budget'!$B$4-SUM($F$10:F12),"")</x:f>
      </x:c>
      <x:c r="J12" s="29"/>
      <x:c r="K12" s="29"/>
      <x:c r="L12" s="2"/>
    </x:row>
    <x:row r="13" ht="24" customHeight="1">
      <x:c r="A13" s="27" t="n">
        <x:f>'Budget'!A13</x:f>
        <x:v>4</x:v>
      </x:c>
      <x:c r="B13" s="30" t="n">
        <x:f>'Budget'!B13</x:f>
        <x:v>46353.5</x:v>
      </x:c>
      <x:c r="C13" s="33" t="n">
        <x:f>'Budget'!D13</x:f>
        <x:v>700</x:v>
      </x:c>
      <x:c r="D13" s="4" t="str">
        <x:f>IF(ISNUMBER(H12),H12,"")</x:f>
      </x:c>
      <x:c r="E13" s="31"/>
      <x:c r="F13" s="31"/>
      <x:c r="G13" s="31"/>
      <x:c r="H13" s="4" t="str">
        <x:f>IF(AND(K13="Yes",J13&lt;&gt;"",COUNT(D13:G13)=4),D13+E13-F13-G13,"")</x:f>
      </x:c>
      <x:c r="I13" s="33" t="str">
        <x:f>IF(AND(COUNT($F$10:F13)=4,COUNTIFS($K$10:K13,"Yes")=4,COUNTBLANK($J$10:J13)=0),'Budget'!$B$4-SUM($F$10:F13),"")</x:f>
      </x:c>
      <x:c r="J13" s="29"/>
      <x:c r="K13" s="29"/>
      <x:c r="L13" s="2"/>
    </x:row>
    <x:row r="14" ht="24" customHeight="1">
      <x:c r="A14" s="27" t="n">
        <x:f>'Budget'!A14</x:f>
        <x:v>5</x:v>
      </x:c>
      <x:c r="B14" s="30" t="n">
        <x:f>'Budget'!B14</x:f>
        <x:v>46360.5</x:v>
      </x:c>
      <x:c r="C14" s="33" t="n">
        <x:f>'Budget'!D14</x:f>
        <x:v>800</x:v>
      </x:c>
      <x:c r="D14" s="4" t="str">
        <x:f>IF(ISNUMBER(H13),H13,"")</x:f>
      </x:c>
      <x:c r="E14" s="31"/>
      <x:c r="F14" s="31"/>
      <x:c r="G14" s="31"/>
      <x:c r="H14" s="4" t="str">
        <x:f>IF(AND(K14="Yes",J14&lt;&gt;"",COUNT(D14:G14)=4),D14+E14-F14-G14,"")</x:f>
      </x:c>
      <x:c r="I14" s="33" t="str">
        <x:f>IF(AND(COUNT($F$10:F14)=5,COUNTIFS($K$10:K14,"Yes")=5,COUNTBLANK($J$10:J14)=0),'Budget'!$B$4-SUM($F$10:F14),"")</x:f>
      </x:c>
      <x:c r="J14" s="29"/>
      <x:c r="K14" s="29"/>
      <x:c r="L14" s="2"/>
    </x:row>
    <x:row r="15" ht="24" customHeight="1">
      <x:c r="A15" s="27" t="n">
        <x:f>'Budget'!A15</x:f>
        <x:v>6</x:v>
      </x:c>
      <x:c r="B15" s="30" t="n">
        <x:f>'Budget'!B15</x:f>
        <x:v>46367.5</x:v>
      </x:c>
      <x:c r="C15" s="33" t="n">
        <x:f>'Budget'!D15</x:f>
        <x:v>800</x:v>
      </x:c>
      <x:c r="D15" s="4" t="str">
        <x:f>IF(ISNUMBER(H14),H14,"")</x:f>
      </x:c>
      <x:c r="E15" s="31"/>
      <x:c r="F15" s="31"/>
      <x:c r="G15" s="31"/>
      <x:c r="H15" s="4" t="str">
        <x:f>IF(AND(K15="Yes",J15&lt;&gt;"",COUNT(D15:G15)=4),D15+E15-F15-G15,"")</x:f>
      </x:c>
      <x:c r="I15" s="33" t="str">
        <x:f>IF(AND(COUNT($F$10:F15)=6,COUNTIFS($K$10:K15,"Yes")=6,COUNTBLANK($J$10:J15)=0),'Budget'!$B$4-SUM($F$10:F15),"")</x:f>
      </x:c>
      <x:c r="J15" s="29"/>
      <x:c r="K15" s="29"/>
      <x:c r="L15" s="2"/>
    </x:row>
    <x:row r="16" ht="24" customHeight="1">
      <x:c r="A16" s="27" t="n">
        <x:f>'Budget'!A16</x:f>
        <x:v>7</x:v>
      </x:c>
      <x:c r="B16" s="30" t="n">
        <x:f>'Budget'!B16</x:f>
        <x:v>46374.5</x:v>
      </x:c>
      <x:c r="C16" s="33" t="n">
        <x:f>'Budget'!D16</x:f>
        <x:v>0</x:v>
      </x:c>
      <x:c r="D16" s="4" t="str">
        <x:f>IF(ISNUMBER(H15),H15,"")</x:f>
      </x:c>
      <x:c r="E16" s="31"/>
      <x:c r="F16" s="31"/>
      <x:c r="G16" s="31"/>
      <x:c r="H16" s="4" t="str">
        <x:f>IF(AND(K16="Yes",J16&lt;&gt;"",COUNT(D16:G16)=4),D16+E16-F16-G16,"")</x:f>
      </x:c>
      <x:c r="I16" s="33" t="str">
        <x:f>IF(AND(COUNT($F$10:F16)=7,COUNTIFS($K$10:K16,"Yes")=7,COUNTBLANK($J$10:J16)=0),'Budget'!$B$4-SUM($F$10:F16),"")</x:f>
      </x:c>
      <x:c r="J16" s="29"/>
      <x:c r="K16" s="29"/>
      <x:c r="L16" s="2"/>
    </x:row>
    <x:row r="17" ht="24" customHeight="1">
      <x:c r="A17" s="27" t="n">
        <x:f>'Budget'!A17</x:f>
        <x:v>8</x:v>
      </x:c>
      <x:c r="B17" s="30" t="n">
        <x:f>'Budget'!B17</x:f>
        <x:v>46381.5</x:v>
      </x:c>
      <x:c r="C17" s="33" t="n">
        <x:f>'Budget'!D17</x:f>
        <x:v>0</x:v>
      </x:c>
      <x:c r="D17" s="4" t="str">
        <x:f>IF(ISNUMBER(H16),H16,"")</x:f>
      </x:c>
      <x:c r="E17" s="31"/>
      <x:c r="F17" s="31"/>
      <x:c r="G17" s="31"/>
      <x:c r="H17" s="4" t="str">
        <x:f>IF(AND(K17="Yes",J17&lt;&gt;"",COUNT(D17:G17)=4),D17+E17-F17-G17,"")</x:f>
      </x:c>
      <x:c r="I17" s="33" t="str">
        <x:f>IF(AND(COUNT($F$10:F17)=8,COUNTIFS($K$10:K17,"Yes")=8,COUNTBLANK($J$10:J17)=0),'Budget'!$B$4-SUM($F$10:F17),"")</x:f>
      </x:c>
      <x:c r="J17" s="29"/>
      <x:c r="K17" s="29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19" t="str">
        <x:v>Planned funding is not a verified Mercury deposit. No banking transaction or ad action is executed.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19" t="str">
        <x:v>Ad budget left deducts only verified Meta card charges; closing cash also includes other cash outflows.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conditionalFormatting sqref="I10:I17">
    <x:cfRule type="cellIs" dxfId="0" priority="1" operator="lessThan">
      <x:formula>0</x:formula>
    </x:cfRule>
  </x:conditionalFormatting>
  <x:dataValidations count="1">
    <x:dataValidation type="list" sqref="K10:K17">
      <x:formula1>"No,Yes"</x:formula1>
    </x:dataValidation>
  </x:dataValidations>
  <x:pageMargins left="0.7" right="0.7" top="0.75" bottom="0.75" header="0.3" footer="0.3"/>
</x:worksheet>
</file>